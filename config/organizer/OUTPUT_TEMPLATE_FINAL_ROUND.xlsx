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 Data" sheetId="1" state="visible" r:id="rId3"/>
    <sheet name="Indicator Reference" sheetId="2" state="visible" r:id="rId4"/>
    <sheet name="Coverage Matrix" sheetId="3" state="visible" r:id="rId5"/>
    <sheet name="Engine Comparison" sheetId="4" state="visible" r:id="rId6"/>
    <sheet name="Run Record" sheetId="5" state="visible" r:id="rId7"/>
    <sheet name="Submission Checklist" sheetId="6" state="visible" r:id="rId8"/>
    <sheet name="Instructions" sheetId="7" state="visible" r:id="rId9"/>
  </sheets>
  <definedNames>
    <definedName function="false" hidden="true" localSheetId="0" name="_xlnm._FilterDatabase" vbProcedure="false">'Output Data'!$A$4:$M$109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<sst xmlns="http://schemas.openxmlformats.org/spreadsheetml/2006/main" count="476" uniqueCount="426">
  <si>
    <t xml:space="preserve">UN Global Hackathon — Structured Output Template</t>
  </si>
  <si>
    <t xml:space="preserve">Final Round submission  |  due 30 September 2026  |  All RDTII 2.1 pillars; pillars 6 and 7 are mandatory.  Same columns as Round 1, plus Language of Source. Indicator IDs are written 6.1, 7.3, 12.9 — as text, never as numbers.</t>
  </si>
  <si>
    <t xml:space="preserve">REQUIRED</t>
  </si>
  <si>
    <t xml:space="preserve">OPTIONAL</t>
  </si>
  <si>
    <t xml:space="preserve">AUTO</t>
  </si>
  <si>
    <t xml:space="preserve">Economy</t>
  </si>
  <si>
    <t xml:space="preserve">Law Name</t>
  </si>
  <si>
    <t xml:space="preserve">Law Number / Ref</t>
  </si>
  <si>
    <t xml:space="preserve">Last Amended</t>
  </si>
  <si>
    <t xml:space="preserve">Indicator ID</t>
  </si>
  <si>
    <t xml:space="preserve">Article / Section</t>
  </si>
  <si>
    <t xml:space="preserve">Discovery Tag</t>
  </si>
  <si>
    <t xml:space="preserve">Location Reference</t>
  </si>
  <si>
    <t xml:space="preserve">Verbatim Snippet</t>
  </si>
  <si>
    <t xml:space="preserve">Mapping Rationale</t>
  </si>
  <si>
    <t xml:space="preserve">Source URL</t>
  </si>
  <si>
    <t xml:space="preserve">Confidence</t>
  </si>
  <si>
    <t xml:space="preserve">Notes</t>
  </si>
  <si>
    <t xml:space="preserve">Language of Source</t>
  </si>
  <si>
    <t xml:space="preserve">Pillar (auto — do not edit)</t>
  </si>
  <si>
    <t xml:space="preserve">Economy name (use official UN name: https://www.unescap.org/about/member-states)</t>
  </si>
  <si>
    <t xml:space="preserve">Full official statute name and year</t>
  </si>
  <si>
    <t xml:space="preserve">Official law/act number — e.g. 'Act 709', 'Law No. 27/2022', 'B.E. 2562', 'No. 26 of 2000'</t>
  </si>
  <si>
    <t xml:space="preserve">Year of most recent amendment. Leave blank if not amended.</t>
  </si>
  <si>
    <t xml:space="preserve">RDTII indicator code — e.g. "P6-I1" , "P6_I2"</t>
  </si>
  <si>
    <t xml:space="preserve">Exact article and paragraph — e.g. Art. 26(2) or S 13(1)(a)</t>
  </si>
  <si>
    <t xml:space="preserve">Enter "NEW" if not in sample kit; "KNOWN" if provided as example</t>
  </si>
  <si>
    <t xml:space="preserve">PDF: page number  |  HTML: URL anchor or section path (e.g. #s26, Part IV &gt; s.26)</t>
  </si>
  <si>
    <t xml:space="preserve">Copy the EXACT text — no edits, no paraphrasing</t>
  </si>
  <si>
    <t xml:space="preserve">OPTIONAL. Max 300 chars. Format: "This [article] [prohibits/requires/permits/establishes] [what]. Maps to [indicator] because [reason]."</t>
  </si>
  <si>
    <t xml:space="preserve">Direct URL to the law on the official government portal</t>
  </si>
  <si>
    <t xml:space="preserve">Optional. Model certainty score for this mapping (0.00 – 1.00)</t>
  </si>
  <si>
    <t xml:space="preserve">Optional: flag unusual cases, bilingual sources, OCR issues</t>
  </si>
  <si>
    <t xml:space="preserve">Original language of the legal document — e.g. Thai, Vietnamese, Bahasa Indonesia, Russian, English. Drives criterion C1c.</t>
  </si>
  <si>
    <t xml:space="preserve">Derived from your Indicator ID. Feeds the Coverage Matrix. Leave the formula alone.</t>
  </si>
  <si>
    <t xml:space="preserve">▸ EXAMPLE ROWS (not real submissions — delete rows 7 and 8 before submitting)</t>
  </si>
  <si>
    <t xml:space="preserve">Singapore</t>
  </si>
  <si>
    <t xml:space="preserve">Personal Data Protection Act 2012</t>
  </si>
  <si>
    <t xml:space="preserve">Act 26 of 2012</t>
  </si>
  <si>
    <t xml:space="preserve">2025</t>
  </si>
  <si>
    <t xml:space="preserve">6.4</t>
  </si>
  <si>
    <t xml:space="preserve">s. 26(1)</t>
  </si>
  <si>
    <t xml:space="preserve">KNOWN</t>
  </si>
  <si>
    <t xml:space="preserve">page 32</t>
  </si>
  <si>
    <t xml:space="preserve">An organisation shall not transfer any personal data to a country or territory outside Singapore except in accordance with requirements prescribed under this Act…</t>
  </si>
  <si>
    <t xml:space="preserve">This s. 26(1) permits cross-border transfer subject to prescribed requirements. It is a conditional flow regime (6.4), not an outright ban (6.1).</t>
  </si>
  <si>
    <t xml:space="preserve">https://sso.agc.gov.sg/Act/PDPA2012</t>
  </si>
  <si>
    <t xml:space="preserve">0.95</t>
  </si>
  <si>
    <t xml:space="preserve">Trap: 'must not transfer UNLESS' is 6.4, never 6.1.</t>
  </si>
  <si>
    <t xml:space="preserve">English</t>
  </si>
  <si>
    <t xml:space="preserve">7.4</t>
  </si>
  <si>
    <t xml:space="preserve">s. 11(3)</t>
  </si>
  <si>
    <t xml:space="preserve">page 18</t>
  </si>
  <si>
    <t xml:space="preserve">An organisation shall designate at least one individual to be responsible for ensuring that the organisation complies with this Act.</t>
  </si>
  <si>
    <t xml:space="preserve">This s. 11(3) requires designation of a data protection officer, which is the DPO limb of indicator 7.4.</t>
  </si>
  <si>
    <t xml:space="preserve">0.90</t>
  </si>
  <si>
    <t xml:space="preserve">RDTII 2.1 — Indicator Reference (all 12 pillars)</t>
  </si>
  <si>
    <t xml:space="preserve">Source: ESCAP-RDTII-2.1 Round 1 Database, 'RDTII 2.1 Methodology' sheet. Use these codes exactly, as text. Gaps in the numbering are intentional. Pillars 6 and 7 are mandatory for this hackathon; the sealed live task on 15 October may fall in any pillar.</t>
  </si>
  <si>
    <t xml:space="preserve">Pillar</t>
  </si>
  <si>
    <t xml:space="preserve">Indicator (policy issue)</t>
  </si>
  <si>
    <t xml:space="preserve">Weight in pillar</t>
  </si>
  <si>
    <t xml:space="preserve">Exceptions / notes</t>
  </si>
  <si>
    <t xml:space="preserve">Pillar 1: Tariffs and Trade Defence</t>
  </si>
  <si>
    <t xml:space="preserve">1.4</t>
  </si>
  <si>
    <t xml:space="preserve">Trade defence measures including anti-dumping, countervailing duties and safeguards on ICT-related goods imported by other economies within the considered United Nations region</t>
  </si>
  <si>
    <t xml:space="preserve">Pillar 2: Public Procurement</t>
  </si>
  <si>
    <t xml:space="preserve">2.1</t>
  </si>
  <si>
    <t xml:space="preserve">Foreign exclusions from public procurement related to ICT goods and digital services</t>
  </si>
  <si>
    <t xml:space="preserve">2.2</t>
  </si>
  <si>
    <t xml:space="preserve">Specific requirements on source codes, encryption and trade secrets</t>
  </si>
  <si>
    <t xml:space="preserve">2.3</t>
  </si>
  <si>
    <t xml:space="preserve">Limitations in procurement bidding</t>
  </si>
  <si>
    <t xml:space="preserve">Pillar 3: Foreign Direct Investment</t>
  </si>
  <si>
    <t xml:space="preserve">3.1</t>
  </si>
  <si>
    <t xml:space="preserve">Foreign equity limits in sectors relevant to digital trade</t>
  </si>
  <si>
    <t xml:space="preserve">Exception: Not cover foreign equity cap in telecom sector (covered under Pillar 5) and e-commerce sector (covered under Pillar 12)</t>
  </si>
  <si>
    <t xml:space="preserve">3.2</t>
  </si>
  <si>
    <t xml:space="preserve">Joint venture requirements</t>
  </si>
  <si>
    <t xml:space="preserve">3.3</t>
  </si>
  <si>
    <t xml:space="preserve">Nationality or residency requirements for board of directors or managers</t>
  </si>
  <si>
    <t xml:space="preserve">3.4</t>
  </si>
  <si>
    <t xml:space="preserve">Screening of investment and acquisitions</t>
  </si>
  <si>
    <t xml:space="preserve">Exception: Anti-trust measures related to M&amp;A are not considered a restriction, unless discriminatory.</t>
  </si>
  <si>
    <t xml:space="preserve">3.5</t>
  </si>
  <si>
    <t xml:space="preserve">Commercial presence requirements to offer cross-border services in sectors relevant to digital trade</t>
  </si>
  <si>
    <t xml:space="preserve">Pillar 4: Intellectual Property Rights</t>
  </si>
  <si>
    <t xml:space="preserve">4.01</t>
  </si>
  <si>
    <t xml:space="preserve">Patent application issues</t>
  </si>
  <si>
    <t xml:space="preserve">4.2</t>
  </si>
  <si>
    <t xml:space="preserve">Patent enforcement issues: civil and administrative procedures and remedies; and provisional measures</t>
  </si>
  <si>
    <t xml:space="preserve">4.3</t>
  </si>
  <si>
    <t xml:space="preserve">Patent enforcement issues: others</t>
  </si>
  <si>
    <t xml:space="preserve">4.5</t>
  </si>
  <si>
    <t xml:space="preserve">Lack of copyright framework and exceptions</t>
  </si>
  <si>
    <t xml:space="preserve">4.6</t>
  </si>
  <si>
    <t xml:space="preserve">Online copyright enforcement issues: civil and administrative procedures and remedies; and provisional measures</t>
  </si>
  <si>
    <t xml:space="preserve">4.9</t>
  </si>
  <si>
    <t xml:space="preserve">Mandatory disclosure of trade secrets, such as souce code and algorithms</t>
  </si>
  <si>
    <t xml:space="preserve">4.1</t>
  </si>
  <si>
    <t xml:space="preserve">Lack of effective trade secrets legal framework</t>
  </si>
  <si>
    <t xml:space="preserve">Pillar 5: Telecom Regulations &amp; Competition</t>
  </si>
  <si>
    <t xml:space="preserve">5.1</t>
  </si>
  <si>
    <t xml:space="preserve">Lack of passive infrastructure sharing</t>
  </si>
  <si>
    <t xml:space="preserve">5.2</t>
  </si>
  <si>
    <t xml:space="preserve">Foreign equity limits in telecom sector</t>
  </si>
  <si>
    <t xml:space="preserve">5.3</t>
  </si>
  <si>
    <t xml:space="preserve">Shares owned by the Government in telecom companies</t>
  </si>
  <si>
    <t xml:space="preserve">5.4</t>
  </si>
  <si>
    <t xml:space="preserve">Lack of functional/accounting separation</t>
  </si>
  <si>
    <t xml:space="preserve">5.5</t>
  </si>
  <si>
    <t xml:space="preserve">Licensing requirements in telecom sector for operators</t>
  </si>
  <si>
    <t xml:space="preserve">5.7</t>
  </si>
  <si>
    <t xml:space="preserve">Lack of independent telecom authority</t>
  </si>
  <si>
    <t xml:space="preserve">Pillar 6: Cross-border Data Policies</t>
  </si>
  <si>
    <t xml:space="preserve">6.1</t>
  </si>
  <si>
    <t xml:space="preserve">Ban and local processing requirements</t>
  </si>
  <si>
    <t xml:space="preserve">38%</t>
  </si>
  <si>
    <t xml:space="preserve">Exception: Not score data localization measure applied to government data.</t>
  </si>
  <si>
    <t xml:space="preserve">6.2</t>
  </si>
  <si>
    <t xml:space="preserve">Local storage requirements</t>
  </si>
  <si>
    <t xml:space="preserve">12%</t>
  </si>
  <si>
    <t xml:space="preserve">6.3</t>
  </si>
  <si>
    <t xml:space="preserve">Infrastructure requirements</t>
  </si>
  <si>
    <t xml:space="preserve">31%</t>
  </si>
  <si>
    <t xml:space="preserve">Conditional flow regimes</t>
  </si>
  <si>
    <t xml:space="preserve">6.5</t>
  </si>
  <si>
    <t xml:space="preserve">Not in an agreement with binding commitments on data transfer</t>
  </si>
  <si>
    <t xml:space="preserve">8%</t>
  </si>
  <si>
    <t xml:space="preserve">From the RDTII 2.1 framework document; not present in the Round 1 database extract.</t>
  </si>
  <si>
    <t xml:space="preserve">Pillar 7: Domestic Data Protection &amp; Privacy</t>
  </si>
  <si>
    <t xml:space="preserve">7.1</t>
  </si>
  <si>
    <t xml:space="preserve">Lack of comprehensive legal framework for data protection</t>
  </si>
  <si>
    <t xml:space="preserve">7.2</t>
  </si>
  <si>
    <t xml:space="preserve">Lack of dedicated legal framework for cybersecurity</t>
  </si>
  <si>
    <t xml:space="preserve">7.3</t>
  </si>
  <si>
    <t xml:space="preserve">Minimum period of data retention requirements</t>
  </si>
  <si>
    <t xml:space="preserve">16%</t>
  </si>
  <si>
    <t xml:space="preserve">Exception: Not score requirement applied to government data.</t>
  </si>
  <si>
    <t xml:space="preserve">Data Protection Impact Assessment (DPIA) or Data Protection Officer (DPO) requirements</t>
  </si>
  <si>
    <t xml:space="preserve">6%</t>
  </si>
  <si>
    <t xml:space="preserve">7.5</t>
  </si>
  <si>
    <t xml:space="preserve">Requirements to allow government access to personal data</t>
  </si>
  <si>
    <t xml:space="preserve">Pillar 8: Internet Intermediary Liability</t>
  </si>
  <si>
    <t xml:space="preserve">8.1</t>
  </si>
  <si>
    <t xml:space="preserve">Lack of safe harbour for copyright infringements</t>
  </si>
  <si>
    <t xml:space="preserve">8.2</t>
  </si>
  <si>
    <t xml:space="preserve">Lack of safe harbour for other illegal activities</t>
  </si>
  <si>
    <t xml:space="preserve">8.3</t>
  </si>
  <si>
    <t xml:space="preserve">User identify requirements</t>
  </si>
  <si>
    <t xml:space="preserve">8.4</t>
  </si>
  <si>
    <t xml:space="preserve">Monitoring requirements</t>
  </si>
  <si>
    <t xml:space="preserve">Pillar 9: Content Access</t>
  </si>
  <si>
    <t xml:space="preserve">9.1</t>
  </si>
  <si>
    <t xml:space="preserve">Blocking or filtering commercial web content</t>
  </si>
  <si>
    <t xml:space="preserve">Exception: Not score political content, criminal content (e.g., child pornography), aged-restricted content, defamation and other non-commercial content.</t>
  </si>
  <si>
    <t xml:space="preserve">9.3</t>
  </si>
  <si>
    <t xml:space="preserve">Online advertising requirements</t>
  </si>
  <si>
    <t xml:space="preserve">Exception: Not score requirements that advertising should not be misleading</t>
  </si>
  <si>
    <t xml:space="preserve">9.4</t>
  </si>
  <si>
    <t xml:space="preserve">Licensing requirements for online content providers and applications (social media platforms, new providers, VPN, cloud servics, etc.)</t>
  </si>
  <si>
    <t xml:space="preserve">Exception: Not cover license for telecommunication facilities and service providers (captured under Pillar 5), License for e-commerce platform (captured under Pillar 12)</t>
  </si>
  <si>
    <t xml:space="preserve">Pillar 10: Non-technical NTMs</t>
  </si>
  <si>
    <t xml:space="preserve">10.1</t>
  </si>
  <si>
    <t xml:space="preserve">Import ban applied to ICT goods and online services (e.g. network equipment, servers, handsets, applications, and data processing)</t>
  </si>
  <si>
    <t xml:space="preserve">10.2</t>
  </si>
  <si>
    <t xml:space="preserve">Other import restrictions on ICT goods and online services</t>
  </si>
  <si>
    <t xml:space="preserve">10.3</t>
  </si>
  <si>
    <t xml:space="preserve">Local content requirements</t>
  </si>
  <si>
    <t xml:space="preserve">10.4</t>
  </si>
  <si>
    <t xml:space="preserve">Export restrictions on ICTgoods and online services</t>
  </si>
  <si>
    <t xml:space="preserve">Pillar 11: Standards and Procedures</t>
  </si>
  <si>
    <t xml:space="preserve">11.1</t>
  </si>
  <si>
    <t xml:space="preserve">Lack of transparent technical standards</t>
  </si>
  <si>
    <t xml:space="preserve">11.2</t>
  </si>
  <si>
    <t xml:space="preserve">Self-certification limitations for product safety (radio transmissions, EMC/EMI)</t>
  </si>
  <si>
    <t xml:space="preserve">11.3</t>
  </si>
  <si>
    <t xml:space="preserve">Product screening and testing requirements</t>
  </si>
  <si>
    <t xml:space="preserve">11.4</t>
  </si>
  <si>
    <t xml:space="preserve">Deviation from international encryption standards (ISO, IEC, ITU, FIPS, AES, TDES, and ECC)</t>
  </si>
  <si>
    <t xml:space="preserve">Pillar 12: Online Sales and Transactions</t>
  </si>
  <si>
    <t xml:space="preserve">12.01</t>
  </si>
  <si>
    <t xml:space="preserve">Foreign equity limits in e-commerce sector</t>
  </si>
  <si>
    <t xml:space="preserve">12.2</t>
  </si>
  <si>
    <t xml:space="preserve">Online purchases and delivery limitations</t>
  </si>
  <si>
    <t xml:space="preserve">Exception: Not score limitations on online purchases and delivery applied specifically to products related to consumer protection, notably restrictions on alcoholic beverages, tobacco, and pharmaceuticals.</t>
  </si>
  <si>
    <t xml:space="preserve">12.3</t>
  </si>
  <si>
    <t xml:space="preserve">Licensing scheme for e-commerce providers (B2B and B2C)</t>
  </si>
  <si>
    <t xml:space="preserve">Exception: Licenses pertiaining to other aspects of e-commerce businesses, such as license to operate online payment services and delivery are not captured.</t>
  </si>
  <si>
    <t xml:space="preserve">12.4.1</t>
  </si>
  <si>
    <t xml:space="preserve">Online payment limitations: mandate local bank account</t>
  </si>
  <si>
    <t xml:space="preserve">12.4.2</t>
  </si>
  <si>
    <t xml:space="preserve">Online payment limitations: mandate currency used for international payments</t>
  </si>
  <si>
    <t xml:space="preserve">12.4.3</t>
  </si>
  <si>
    <t xml:space="preserve">Online payment limitations: deviate national standards</t>
  </si>
  <si>
    <t xml:space="preserve">12.4.4</t>
  </si>
  <si>
    <t xml:space="preserve">Online payment limitations: licensing requirements</t>
  </si>
  <si>
    <t xml:space="preserve">12.4.5</t>
  </si>
  <si>
    <t xml:space="preserve">Online payment limitations: ceiling on the maximum amount</t>
  </si>
  <si>
    <t xml:space="preserve">12.4.6</t>
  </si>
  <si>
    <t xml:space="preserve">Online payment limitations: mandate specific intermediaries</t>
  </si>
  <si>
    <t xml:space="preserve">12.4.7</t>
  </si>
  <si>
    <t xml:space="preserve">Online payment limitations: others restrictions</t>
  </si>
  <si>
    <t xml:space="preserve">12.5</t>
  </si>
  <si>
    <t xml:space="preserve">Low De Minimis</t>
  </si>
  <si>
    <t xml:space="preserve">12.6</t>
  </si>
  <si>
    <t xml:space="preserve">Imposition of custom duties on electronic transmission</t>
  </si>
  <si>
    <t xml:space="preserve">12.7</t>
  </si>
  <si>
    <t xml:space="preserve">Domain name requirements</t>
  </si>
  <si>
    <t xml:space="preserve">12.8</t>
  </si>
  <si>
    <t xml:space="preserve">Local presence requirements for online service providers</t>
  </si>
  <si>
    <t xml:space="preserve">12.9</t>
  </si>
  <si>
    <t xml:space="preserve">Lack of legal framework for online consumer protection</t>
  </si>
  <si>
    <t xml:space="preserve">The five mapping traps checked every round:</t>
  </si>
  <si>
    <t xml:space="preserve">7.1 and 7.2 are ECONOMY-LEVEL — does the framework exist, answered once per economy. Per-provision citations of a data-protection or cybersecurity act tagged 7.1/7.2 are not discoveries and score zero.</t>
  </si>
  <si>
    <t xml:space="preserve">7.3 needs a SPECIFIED minimum duration ('5 years'). A 'prescribed period' with no number, a notification deadline or an appeal window is not a retention rule.</t>
  </si>
  <si>
    <t xml:space="preserve">7.5 is government access to PERSONAL data without independent judicial authorisation — not generic inspection of business records, and not a secrecy duty with a court-order carve-out.</t>
  </si>
  <si>
    <t xml:space="preserve">6.2 is data STORED in-country — a storage locus, not general record-keeping.</t>
  </si>
  <si>
    <t xml:space="preserve">6.1 vs 6.4 — 'must not transfer UNLESS [condition]' is a conditional flow regime (6.4), not an outright ban (6.1).</t>
  </si>
  <si>
    <t xml:space="preserve">Drafts, repealed provisions, and an amending act cited in place of the principal act all score zero.</t>
  </si>
  <si>
    <t xml:space="preserve">Coverage Matrix — provisions per economy × pillar</t>
  </si>
  <si>
    <t xml:space="preserve">Auto-calculated from the Output Data sheet via the Pillar (auto) column. Do not edit the formulas. Pillars 6 and 7 are mandatory.</t>
  </si>
  <si>
    <t xml:space="preserve">1  Tariffs and Trade Defence</t>
  </si>
  <si>
    <t xml:space="preserve">2  Public Procurement</t>
  </si>
  <si>
    <t xml:space="preserve">3  Foreign Direct Investment</t>
  </si>
  <si>
    <t xml:space="preserve">4  Intellectual Property Rights</t>
  </si>
  <si>
    <t xml:space="preserve">5  Telecom Regulations &amp; Competition</t>
  </si>
  <si>
    <t xml:space="preserve">6  Cross-border Data Policies</t>
  </si>
  <si>
    <t xml:space="preserve">7  Domestic Data Protection &amp; Privacy</t>
  </si>
  <si>
    <t xml:space="preserve">8  Internet Intermediary Liability</t>
  </si>
  <si>
    <t xml:space="preserve">9  Content Access</t>
  </si>
  <si>
    <t xml:space="preserve">10  Non-technical NTMs</t>
  </si>
  <si>
    <t xml:space="preserve">11  Standards and Procedures</t>
  </si>
  <si>
    <t xml:space="preserve">12  Online Sales and Transactions</t>
  </si>
  <si>
    <t xml:space="preserve">Row total</t>
  </si>
  <si>
    <t xml:space="preserve">Australia</t>
  </si>
  <si>
    <t xml:space="preserve">Bangladesh</t>
  </si>
  <si>
    <t xml:space="preserve">Bhutan</t>
  </si>
  <si>
    <t xml:space="preserve">Brunei Darussalam</t>
  </si>
  <si>
    <t xml:space="preserve">Cambodia</t>
  </si>
  <si>
    <t xml:space="preserve">China</t>
  </si>
  <si>
    <t xml:space="preserve">Fiji</t>
  </si>
  <si>
    <t xml:space="preserve">India</t>
  </si>
  <si>
    <t xml:space="preserve">Indonesia</t>
  </si>
  <si>
    <t xml:space="preserve">Japan</t>
  </si>
  <si>
    <t xml:space="preserve">Kazakhstan</t>
  </si>
  <si>
    <t xml:space="preserve">Kyrgyzstan</t>
  </si>
  <si>
    <t xml:space="preserve">Lao PDR</t>
  </si>
  <si>
    <t xml:space="preserve">Malaysia</t>
  </si>
  <si>
    <t xml:space="preserve">Maldives</t>
  </si>
  <si>
    <t xml:space="preserve">Mongolia</t>
  </si>
  <si>
    <t xml:space="preserve">Myanmar</t>
  </si>
  <si>
    <t xml:space="preserve">Nepal</t>
  </si>
  <si>
    <t xml:space="preserve">New Zealand</t>
  </si>
  <si>
    <t xml:space="preserve">Pakistan</t>
  </si>
  <si>
    <t xml:space="preserve">Papua New Guinea</t>
  </si>
  <si>
    <t xml:space="preserve">Philippines</t>
  </si>
  <si>
    <t xml:space="preserve">Republic of Korea</t>
  </si>
  <si>
    <t xml:space="preserve">Samoa</t>
  </si>
  <si>
    <t xml:space="preserve">Sri Lanka</t>
  </si>
  <si>
    <t xml:space="preserve">Tajikistan</t>
  </si>
  <si>
    <t xml:space="preserve">Thailand</t>
  </si>
  <si>
    <t xml:space="preserve">Timor-Leste</t>
  </si>
  <si>
    <t xml:space="preserve">Tonga</t>
  </si>
  <si>
    <t xml:space="preserve">Turkmenistan</t>
  </si>
  <si>
    <t xml:space="preserve">Uzbekistan</t>
  </si>
  <si>
    <t xml:space="preserve">Vanuatu</t>
  </si>
  <si>
    <t xml:space="preserve">Viet Nam</t>
  </si>
  <si>
    <t xml:space="preserve">Column total</t>
  </si>
  <si>
    <t xml:space="preserve">Economies with at least one provision:</t>
  </si>
  <si>
    <t xml:space="preserve">C1a asks for three or more diverse economies, processed autonomously.</t>
  </si>
  <si>
    <t xml:space="preserve">Finale morning — engine comparison  (criterion C5b, 4 points)</t>
  </si>
  <si>
    <t xml:space="preserve">Completed during the live hour on 15 October and submitted with your evidence. Cover every provision either engine produced. The second engine re-reads documents already downloaded and fetches nothing new.</t>
  </si>
  <si>
    <t xml:space="preserve">1 · Per-engine summary</t>
  </si>
  <si>
    <t xml:space="preserve">Field</t>
  </si>
  <si>
    <t xml:space="preserve">Engine A — first pass</t>
  </si>
  <si>
    <t xml:space="preserve">Engine B — second pass</t>
  </si>
  <si>
    <t xml:space="preserve">Provider and model name</t>
  </si>
  <si>
    <t xml:space="preserve">Start time (hh:mm)</t>
  </si>
  <si>
    <t xml:space="preserve">End time (hh:mm)</t>
  </si>
  <si>
    <t xml:space="preserve">Elapsed (minutes)</t>
  </si>
  <si>
    <t xml:space="preserve">Documents fetched during this pass</t>
  </si>
  <si>
    <t xml:space="preserve">Cost of this pass (US$)</t>
  </si>
  <si>
    <t xml:space="preserve">Engine B's 'documents fetched' must be 0. A steward checks this against the Run Record.</t>
  </si>
  <si>
    <t xml:space="preserve">2 · Provision-by-provision comparison</t>
  </si>
  <si>
    <t xml:space="preserve">#</t>
  </si>
  <si>
    <t xml:space="preserve">Found by</t>
  </si>
  <si>
    <t xml:space="preserve">Indicator differs?</t>
  </si>
  <si>
    <t xml:space="preserve">Citation differs?</t>
  </si>
  <si>
    <t xml:space="preserve">Quoted words differ?</t>
  </si>
  <si>
    <t xml:space="preserve">How they differ — one line</t>
  </si>
  <si>
    <t xml:space="preserve">Electronic Transactions Act B.E. 2544</t>
  </si>
  <si>
    <t xml:space="preserve">s. 26</t>
  </si>
  <si>
    <t xml:space="preserve">Both</t>
  </si>
  <si>
    <t xml:space="preserve">No</t>
  </si>
  <si>
    <t xml:space="preserve">Yes</t>
  </si>
  <si>
    <t xml:space="preserve">Engine A cited s. 26(1), Engine B cited s. 26 — same text, A is the more precise citation</t>
  </si>
  <si>
    <t xml:space="preserve">Found by Engine A only:</t>
  </si>
  <si>
    <t xml:space="preserve">Found by Engine B only:</t>
  </si>
  <si>
    <t xml:space="preserve">Found by both:</t>
  </si>
  <si>
    <t xml:space="preserve">3 · Which output would you hand to a ministry, and why?</t>
  </si>
  <si>
    <t xml:space="preserve">One paragraph, in your own words. Two engines agreeing is a good result — say so, and say what it tells you. This is the part that carries the marks, because it is the part a menu cannot fake.</t>
  </si>
  <si>
    <t xml:space="preserve">Finale morning — run record</t>
  </si>
  <si>
    <t xml:space="preserve">Evidence that the hour happened as described. The document list is the hard check: if no documents were fetched during the hour, C5a scores zero regardless of what the evidence file contains.</t>
  </si>
  <si>
    <t xml:space="preserve">1 · Engine runs</t>
  </si>
  <si>
    <t xml:space="preserve">Engine</t>
  </si>
  <si>
    <t xml:space="preserve">Provider / model name</t>
  </si>
  <si>
    <t xml:space="preserve">Start (hh:mm)</t>
  </si>
  <si>
    <t xml:space="preserve">End (hh:mm)</t>
  </si>
  <si>
    <t xml:space="preserve">Elapsed (min)</t>
  </si>
  <si>
    <t xml:space="preserve">Cost (US$)</t>
  </si>
  <si>
    <t xml:space="preserve">Total cost for the hour (US$)</t>
  </si>
  <si>
    <t xml:space="preserve">2 · Every document downloaded during the hour</t>
  </si>
  <si>
    <t xml:space="preserve">Fetched during</t>
  </si>
  <si>
    <t xml:space="preserve">Time (hh:mm)</t>
  </si>
  <si>
    <t xml:space="preserve">Size (KB)</t>
  </si>
  <si>
    <t xml:space="preserve">File type</t>
  </si>
  <si>
    <t xml:space="preserve">https://www.etda.or.th/…/ETA-2544.pdf</t>
  </si>
  <si>
    <t xml:space="preserve">Engine A pass</t>
  </si>
  <si>
    <t xml:space="preserve">10:22</t>
  </si>
  <si>
    <t xml:space="preserve">PDF</t>
  </si>
  <si>
    <t xml:space="preserve">Documents fetched during the hour (Engine A):</t>
  </si>
  <si>
    <t xml:space="preserve">Documents fetched by Engine B — must be zero:</t>
  </si>
  <si>
    <t xml:space="preserve">3 · Short note</t>
  </si>
  <si>
    <t xml:space="preserve">What worked</t>
  </si>
  <si>
    <t xml:space="preserve">What broke</t>
  </si>
  <si>
    <t xml:space="preserve">What a human should check first</t>
  </si>
  <si>
    <t xml:space="preserve">Headline cost for the hour (US$)</t>
  </si>
  <si>
    <t xml:space="preserve">Machine used (make, RAM, GPU if any)</t>
  </si>
  <si>
    <t xml:space="preserve">The two engines used</t>
  </si>
  <si>
    <t xml:space="preserve">Checklist before 30 September</t>
  </si>
  <si>
    <t xml:space="preserve">Tick every item. The live-test items cannot be fixed on 15 October — code is frozen at submission.</t>
  </si>
  <si>
    <t xml:space="preserve">Item</t>
  </si>
  <si>
    <t xml:space="preserve">Status</t>
  </si>
  <si>
    <t xml:space="preserve">Notes / evidence</t>
  </si>
  <si>
    <t xml:space="preserve">[Repository]   GitHub repository is public and accessible to the secretariat</t>
  </si>
  <si>
    <t xml:space="preserve">[Repository]   Final release tag recorded — that exact tag is what will run on 15 October</t>
  </si>
  <si>
    <t xml:space="preserve">[Repository]   LICENSE file contains the Apache License 2.0 text</t>
  </si>
  <si>
    <t xml:space="preserve">[Repository]   README complete, following README_template_FINAL_ROUND.md — every section, not just Quick Start</t>
  </si>
  <si>
    <t xml:space="preserve">[Repository]   README Quick Start reaches a working system on a clean machine in under 30 minutes</t>
  </si>
  <si>
    <t xml:space="preserve">[Deployment]   Deployment guide included in the Stage 3 Word template, Section 1</t>
  </si>
  <si>
    <t xml:space="preserve">[Deployment]   Someone who did not build the tool deployed it from the guide alone, on a clean machine, in under 30 minutes</t>
  </si>
  <si>
    <t xml:space="preserve">[Deployment]   Docker / Python environment requirements documented; no hardcoded paths</t>
  </si>
  <si>
    <t xml:space="preserve">[Architecture]   The AI model backend is swappable from inside the interface, with no code or config change</t>
  </si>
  <si>
    <t xml:space="preserve">[Architecture]   Zone 1 (source discovery) and Zone 2 (extraction) are separate, documented modules</t>
  </si>
  <si>
    <t xml:space="preserve">[Architecture]   The human-review audit interface works and can be driven by a non-technical policy officer</t>
  </si>
  <si>
    <t xml:space="preserve">[Compliance]   The core pipeline runs end to end on the open-weights engine alone, with no proprietary API</t>
  </si>
  <si>
    <t xml:space="preserve">[Compliance]   All dependencies listed with licences in the Stage 3 Word template, Section 3</t>
  </si>
  <si>
    <t xml:space="preserve">[Evidence]   Output Data sheet complete — indicator IDs as text, verbatim snippets, live source URLs</t>
  </si>
  <si>
    <t xml:space="preserve">[Evidence]   Coverage Matrix shows three or more economies</t>
  </si>
  <si>
    <t xml:space="preserve">[Evidence]   Both mandatory pillars covered — 6 Cross-border data policies and 7 Domestic data protection &amp; privacy</t>
  </si>
  <si>
    <t xml:space="preserve">[Evidence]   At least one non-English source, recorded in Language of Source</t>
  </si>
  <si>
    <t xml:space="preserve">[Interface]   Your working interface deploys from the repository at the declared tag — C3a and C3b, 15 points, are marked on it</t>
  </si>
  <si>
    <t xml:space="preserve">[Interface]   Interface walkthrough recording made — 3-4 min: start a run, audit view beside the source, reject and export, switch the engine</t>
  </si>
  <si>
    <t xml:space="preserve">[Live test]   Two AI engines declared in the Word submission — one commercial hosted, one open weights</t>
  </si>
  <si>
    <t xml:space="preserve">[Live test]   The engine switch is made inside the interface and a steward can watch it happen</t>
  </si>
  <si>
    <t xml:space="preserve">[Live test]   A second pass re-reads documents already downloaded, fetching nothing new</t>
  </si>
  <si>
    <t xml:space="preserve">[Live test]   Your tool can produce the Engine Comparison sheet, or you can build it from two exports in the interface</t>
  </si>
  <si>
    <t xml:space="preserve">[Live test]   The run starts from a button; progress is shown in plain words; review and export happen in the interface</t>
  </si>
  <si>
    <t xml:space="preserve">[Live test]   Politeness limits built in and ON by default — one request a second per site, robots.txt respected</t>
  </si>
  <si>
    <t xml:space="preserve">[Live test]   Cache and downloaded-document folders can be cleared on screen before the clock starts</t>
  </si>
  <si>
    <t xml:space="preserve">[Live test]   Cost recorded per run and per engine, in US dollars</t>
  </si>
  <si>
    <t xml:space="preserve">[Live test]   Ready for any of the nine 2025 RDTII economies and their languages, in any pillar</t>
  </si>
  <si>
    <t xml:space="preserve">[Live test]   After submission the interface can be left available for the marking period</t>
  </si>
  <si>
    <t xml:space="preserve">How to complete the Final Round output template</t>
  </si>
  <si>
    <t xml:space="preserve">WHAT CHANGED SINCE ROUND 1</t>
  </si>
  <si>
    <t xml:space="preserve">Same columns</t>
  </si>
  <si>
    <t xml:space="preserve">The thirteen Round 1 columns are unchanged, in the same order. Your exporter should still work.</t>
  </si>
  <si>
    <t xml:space="preserve">One new column</t>
  </si>
  <si>
    <t xml:space="preserve">Language of Source (column N) — the original language of the legal document. It drives criterion C1c.</t>
  </si>
  <si>
    <t xml:space="preserve">One automatic column</t>
  </si>
  <si>
    <t xml:space="preserve">Pillar (column O) is a formula that reads your Indicator ID. Do not type in it and do not delete it; the Coverage Matrix reads from it.</t>
  </si>
  <si>
    <t xml:space="preserve">Scope is wider</t>
  </si>
  <si>
    <t xml:space="preserve">Round 1 was pillars 6 and 7 only. The final round accepts any RDTII pillar; 6 and 7 remain mandatory. The Indicator Reference sheet now lists all twelve.</t>
  </si>
  <si>
    <t xml:space="preserve">Two morning sheets</t>
  </si>
  <si>
    <t xml:space="preserve">Engine Comparison and Run Record are completed during the live hour on 15 October, not before.</t>
  </si>
  <si>
    <t xml:space="preserve">Your interface</t>
  </si>
  <si>
    <t xml:space="preserve">A submitted deliverable, not a file you upload: the system a reviewer reaches by deploying your repository at the declared tag. C3a and C3b (15 points) are marked on it during the fortnight.</t>
  </si>
  <si>
    <t xml:space="preserve">Interface walkthrough</t>
  </si>
  <si>
    <t xml:space="preserve">New: a 3-4 minute screen recording of your audit view, submitted with the Word document. It is the fallback if we cannot deploy your system from your guide.</t>
  </si>
  <si>
    <t xml:space="preserve">GENERAL RULES</t>
  </si>
  <si>
    <t xml:space="preserve">Delete example rows</t>
  </si>
  <si>
    <t xml:space="preserve">Remove rows 7 and 8 before submitting. They are illustration only.</t>
  </si>
  <si>
    <t xml:space="preserve">Do not rename columns</t>
  </si>
  <si>
    <t xml:space="preserve">Column names and order must match this template exactly. The secretariat validates against them.</t>
  </si>
  <si>
    <t xml:space="preserve">One row per provision</t>
  </si>
  <si>
    <t xml:space="preserve">Each article or paragraph that maps to an indicator is one row. A provision touching two indicators gets two rows.</t>
  </si>
  <si>
    <t xml:space="preserve">No merged cells in data</t>
  </si>
  <si>
    <t xml:space="preserve">Keep every cell independent in the data area.</t>
  </si>
  <si>
    <t xml:space="preserve">INDICATOR IDs — READ THIS</t>
  </si>
  <si>
    <t xml:space="preserve">Format</t>
  </si>
  <si>
    <t xml:space="preserve">Write the RDTII 2.1 code exactly: 6.1, 6.4, 7.3, 12.3, 12.9. Not 'P6-I1', not 'Pillar 6 Indicator 1'.</t>
  </si>
  <si>
    <t xml:space="preserve">Store as text</t>
  </si>
  <si>
    <t xml:space="preserve">Column E is formatted as text. This matters: entered as a number, 12.10 collapses to 12.1 and 4.01 to 4.1, and the two are different indicators.</t>
  </si>
  <si>
    <t xml:space="preserve">Where they come from</t>
  </si>
  <si>
    <t xml:space="preserve">The Indicator Reference sheet, taken from the RDTII 2.1 Methodology in the Round 1 database. Gaps in the numbering are intentional.</t>
  </si>
  <si>
    <t xml:space="preserve">FIELD RULES</t>
  </si>
  <si>
    <t xml:space="preserve">Official UN country name, e.g. Lao People's Democratic Republic, Viet Nam.</t>
  </si>
  <si>
    <t xml:space="preserve">Full official name plus year. Do not abbreviate.</t>
  </si>
  <si>
    <t xml:space="preserve">Article number AND paragraph, e.g. Art. 26(2), s. 16(1). Cite the section, not just the act — a real act cited to the wrong section scores zero.</t>
  </si>
  <si>
    <t xml:space="preserve">PDF page number, or an HTML anchor or section path.</t>
  </si>
  <si>
    <t xml:space="preserve">The exact text. No editing, summarising or paraphrasing. Verified against the source.</t>
  </si>
  <si>
    <t xml:space="preserve">Max 300 characters. Name the legal mechanism: 'This s. 26(1) permits transfer subject to prescribed requirements — a conditional flow regime.' Not 'this is about data'.</t>
  </si>
  <si>
    <t xml:space="preserve">NEW = your tool found it and it is not in the 2025 baseline you hold. KNOWN = it was in the sample kit.</t>
  </si>
  <si>
    <t xml:space="preserve">The original language of the document, not the language you translated into.</t>
  </si>
  <si>
    <t xml:space="preserve">Optional, 0.00–1.00. Flagging low confidence is treated as a strength, not a weakness.</t>
  </si>
  <si>
    <t xml:space="preserve">THE LIVE TEST IS SEALED</t>
  </si>
  <si>
    <t xml:space="preserve">What you know now</t>
  </si>
  <si>
    <t xml:space="preserve">The task uses one of the nine economies whose 2025 RDTII database you hold — Thailand, Viet Nam, Indonesia, China, India, Kazakhstan, Lao PDR, Mongolia, the Russian Federation — with one pillar and two indicators.</t>
  </si>
  <si>
    <t xml:space="preserve">What you learn on the day</t>
  </si>
  <si>
    <t xml:space="preserve">Which economy, which pillar, which two indicators. Announced at the start of the hour and not before. It may be a pillar you were never asked to work.</t>
  </si>
  <si>
    <t xml:space="preserve">Not a menu</t>
  </si>
  <si>
    <t xml:space="preserve">You do not submit a list of jurisdictions to be tested from. Be ready for any of the nine.</t>
  </si>
  <si>
    <t xml:space="preserve">HOW THE FINAL ROUND IS MARKED</t>
  </si>
  <si>
    <t xml:space="preserve">The submission, 90 points</t>
  </si>
  <si>
    <t xml:space="preserve">C1a to C4b, marked by the secretariat between 30 September and 14 October against your sources.</t>
  </si>
  <si>
    <t xml:space="preserve">The live test, 10 points</t>
  </si>
  <si>
    <t xml:space="preserve">C5a discovery (6) and C5b engine swap (4), marked on 15 October.</t>
  </si>
  <si>
    <t xml:space="preserve">The judges, 50 points</t>
  </si>
  <si>
    <t xml:space="preserve">A separate sheet: their private hands-on session and your pitch. They do not see the desk-review scores.</t>
  </si>
  <si>
    <t xml:space="preserve">The advisory board, 10 points</t>
  </si>
  <si>
    <t xml:space="preserve">One question — which tool would you most want to see put to work.</t>
  </si>
  <si>
    <t xml:space="preserve">C1a in particular</t>
  </si>
  <si>
    <t xml:space="preserve">Three or more diverse economies processed autonomously, with minimal reconfiguration between them. Depth across three beats a thin pass over ten.</t>
  </si>
  <si>
    <t xml:space="preserve">SUBMISSION CHECKLIST</t>
  </si>
  <si>
    <t xml:space="preserve">See the Submission Checklist sheet</t>
  </si>
  <si>
    <t xml:space="preserve">Twenty-six items. The Live test items cannot be fixed on 15 October, because your code is frozen at submission.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</si>
</sst>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A0C4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64748B"/>
      <name val="Arial"/>
      <family val="0"/>
      <charset val="1"/>
    </font>
    <font>
      <sz val="8"/>
      <color rgb="FF64748B"/>
      <name val="Arial"/>
      <family val="0"/>
      <charset val="1"/>
    </font>
    <font>
      <b val="true"/>
      <sz val="9"/>
      <color rgb="FFFF0000"/>
      <name val="Arial"/>
      <family val="0"/>
      <charset val="1"/>
    </font>
    <font>
      <sz val="9"/>
      <color rgb="FF92400E"/>
      <name val="Arial"/>
      <family val="0"/>
      <charset val="1"/>
    </font>
    <font>
      <sz val="9"/>
      <color rgb="FF1E293B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b val="true"/>
      <sz val="9"/>
      <color rgb="FF1E293B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E3A5F"/>
        <bgColor rgb="FF1E293B"/>
      </patternFill>
    </fill>
    <fill>
      <patternFill patternType="solid">
        <fgColor rgb="FF122540"/>
        <bgColor rgb="FF1E293B"/>
      </patternFill>
    </fill>
    <fill>
      <patternFill patternType="solid">
        <fgColor rgb="FF166534"/>
        <bgColor rgb="FF0F766E"/>
      </patternFill>
    </fill>
    <fill>
      <patternFill patternType="solid">
        <fgColor rgb="FF64748B"/>
        <bgColor rgb="FF808080"/>
      </patternFill>
    </fill>
    <fill>
      <patternFill patternType="solid">
        <fgColor rgb="FF0F766E"/>
        <bgColor rgb="FF008080"/>
      </patternFill>
    </fill>
    <fill>
      <patternFill patternType="solid">
        <fgColor rgb="FF2563A8"/>
        <bgColor rgb="FF0F766E"/>
      </patternFill>
    </fill>
    <fill>
      <patternFill patternType="solid">
        <fgColor rgb="FF6D28D9"/>
        <bgColor rgb="FF800080"/>
      </patternFill>
    </fill>
    <fill>
      <patternFill patternType="solid">
        <fgColor rgb="FFE2E8F0"/>
        <bgColor rgb="FFDCFCE7"/>
      </patternFill>
    </fill>
    <fill>
      <patternFill patternType="solid">
        <fgColor rgb="FFFEF3C7"/>
        <bgColor rgb="FFFFFBEB"/>
      </patternFill>
    </fill>
    <fill>
      <patternFill patternType="solid">
        <fgColor rgb="FFFFFBEB"/>
        <bgColor rgb="FFF8FAFC"/>
      </patternFill>
    </fill>
    <fill>
      <patternFill patternType="solid">
        <fgColor rgb="FFF8FAFC"/>
        <bgColor rgb="FFF0FDFA"/>
      </patternFill>
    </fill>
    <fill>
      <patternFill patternType="solid">
        <fgColor rgb="FFFFFFFF"/>
        <bgColor rgb="FFF8FAFC"/>
      </patternFill>
    </fill>
    <fill>
      <patternFill patternType="solid">
        <fgColor rgb="FFF0FDFA"/>
        <bgColor rgb="FFF8FA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1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11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66534"/>
          <bgColor rgb="FF000000"/>
        </patternFill>
      </fill>
    </dxf>
    <dxf>
      <fill>
        <patternFill patternType="solid">
          <fgColor rgb="FFE2E8F0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FBE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E293B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2563A8"/>
          <bgColor rgb="FF000000"/>
        </patternFill>
      </fill>
    </dxf>
    <dxf>
      <fill>
        <patternFill patternType="solid">
          <fgColor rgb="FF6D28D9"/>
          <bgColor rgb="FF000000"/>
        </patternFill>
      </fill>
    </dxf>
    <dxf>
      <font>
        <name val="Arial"/>
        <charset val="1"/>
        <family val="0"/>
        <b val="1"/>
        <color rgb="FF166534"/>
        <sz val="9"/>
      </font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F766E"/>
      <rgbColor rgb="FFD1D5DB"/>
      <rgbColor rgb="FF808080"/>
      <rgbColor rgb="FF9999FF"/>
      <rgbColor rgb="FF993366"/>
      <rgbColor rgb="FFFEF3C7"/>
      <rgbColor rgb="FFDCFCE7"/>
      <rgbColor rgb="FF660066"/>
      <rgbColor rgb="FFFF8080"/>
      <rgbColor rgb="FF2563A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A"/>
      <rgbColor rgb="FFE2E8F0"/>
      <rgbColor rgb="FFFFFBEB"/>
      <rgbColor rgb="FFA0C4FF"/>
      <rgbColor rgb="FFFF99CC"/>
      <rgbColor rgb="FFCC99FF"/>
      <rgbColor rgb="FFF8FAFC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E3A5F"/>
      <rgbColor rgb="FF339966"/>
      <rgbColor rgb="FF122540"/>
      <rgbColor rgb="FF333300"/>
      <rgbColor rgb="FF92400E"/>
      <rgbColor rgb="FF993366"/>
      <rgbColor rgb="FF6D28D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E9" activeCellId="0" sqref="E9"/>
    </sheetView>
  </sheetViews>
  <sheetFormatPr defaultColWidth="14.425781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5" min="4" style="0" width="13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52"/>
    <col collapsed="false" customWidth="true" hidden="false" outlineLevel="0" max="10" min="10" style="0" width="42"/>
    <col collapsed="false" customWidth="true" hidden="false" outlineLevel="0" max="11" min="11" style="0" width="40"/>
    <col collapsed="false" customWidth="true" hidden="false" outlineLevel="0" max="12" min="12" style="0" width="11"/>
    <col collapsed="false" customWidth="true" hidden="false" outlineLevel="0" max="13" min="13" style="0" width="28"/>
    <col collapsed="false" customWidth="true" hidden="false" outlineLevel="0" max="26" min="14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.75" hidden="false" customHeight="true" outlineLevel="0" collapsed="false">
      <c r="A3" s="3" t="s">
        <v>2</v>
      </c>
      <c r="B3" s="3" t="s">
        <v>2</v>
      </c>
      <c r="C3" s="4" t="s">
        <v>3</v>
      </c>
      <c r="D3" s="3" t="s">
        <v>2</v>
      </c>
      <c r="E3" s="3" t="s">
        <v>2</v>
      </c>
      <c r="F3" s="3" t="s">
        <v>2</v>
      </c>
      <c r="G3" s="3" t="s">
        <v>2</v>
      </c>
      <c r="H3" s="4" t="s">
        <v>3</v>
      </c>
      <c r="I3" s="3" t="s">
        <v>2</v>
      </c>
      <c r="J3" s="4" t="s">
        <v>3</v>
      </c>
      <c r="K3" s="3" t="s">
        <v>2</v>
      </c>
      <c r="L3" s="4" t="s">
        <v>3</v>
      </c>
      <c r="M3" s="4" t="s">
        <v>3</v>
      </c>
      <c r="N3" s="5" t="s">
        <v>2</v>
      </c>
      <c r="O3" s="6" t="s">
        <v>4</v>
      </c>
    </row>
    <row r="4" customFormat="false" ht="21.75" hidden="false" customHeight="true" outlineLevel="0" collapsed="false">
      <c r="A4" s="7" t="s">
        <v>5</v>
      </c>
      <c r="B4" s="7" t="s">
        <v>6</v>
      </c>
      <c r="C4" s="8" t="s">
        <v>7</v>
      </c>
      <c r="D4" s="8" t="s">
        <v>8</v>
      </c>
      <c r="E4" s="7" t="s">
        <v>9</v>
      </c>
      <c r="F4" s="7" t="s">
        <v>10</v>
      </c>
      <c r="G4" s="7" t="s">
        <v>11</v>
      </c>
      <c r="H4" s="9" t="s">
        <v>12</v>
      </c>
      <c r="I4" s="7" t="s">
        <v>13</v>
      </c>
      <c r="J4" s="8" t="s">
        <v>14</v>
      </c>
      <c r="K4" s="10" t="s">
        <v>15</v>
      </c>
      <c r="L4" s="11" t="s">
        <v>16</v>
      </c>
      <c r="M4" s="9" t="s">
        <v>17</v>
      </c>
      <c r="N4" s="12" t="s">
        <v>18</v>
      </c>
      <c r="O4" s="13" t="s">
        <v>19</v>
      </c>
    </row>
    <row r="5" customFormat="false" ht="31.5" hidden="false" customHeight="true" outlineLevel="0" collapsed="false">
      <c r="A5" s="14" t="s">
        <v>20</v>
      </c>
      <c r="B5" s="14" t="s">
        <v>21</v>
      </c>
      <c r="C5" s="14" t="s">
        <v>22</v>
      </c>
      <c r="D5" s="14" t="s">
        <v>23</v>
      </c>
      <c r="E5" s="14" t="s">
        <v>24</v>
      </c>
      <c r="F5" s="14" t="s">
        <v>25</v>
      </c>
      <c r="G5" s="14" t="s">
        <v>26</v>
      </c>
      <c r="H5" s="14" t="s">
        <v>27</v>
      </c>
      <c r="I5" s="14" t="s">
        <v>28</v>
      </c>
      <c r="J5" s="14" t="s">
        <v>29</v>
      </c>
      <c r="K5" s="14" t="s">
        <v>30</v>
      </c>
      <c r="L5" s="14" t="s">
        <v>31</v>
      </c>
      <c r="M5" s="14" t="s">
        <v>32</v>
      </c>
      <c r="N5" s="15" t="s">
        <v>33</v>
      </c>
      <c r="O5" s="15" t="s">
        <v>34</v>
      </c>
    </row>
    <row r="6" customFormat="false" ht="15.75" hidden="false" customHeight="true" outlineLevel="0" collapsed="false">
      <c r="A6" s="16" t="s">
        <v>35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customFormat="false" ht="45.75" hidden="false" customHeight="true" outlineLevel="0" collapsed="false">
      <c r="A7" s="17" t="s">
        <v>36</v>
      </c>
      <c r="B7" s="17" t="s">
        <v>37</v>
      </c>
      <c r="C7" s="17" t="s">
        <v>38</v>
      </c>
      <c r="D7" s="17" t="s">
        <v>39</v>
      </c>
      <c r="E7" s="18" t="s">
        <v>40</v>
      </c>
      <c r="F7" s="17" t="s">
        <v>41</v>
      </c>
      <c r="G7" s="17" t="s">
        <v>42</v>
      </c>
      <c r="H7" s="17" t="s">
        <v>43</v>
      </c>
      <c r="I7" s="17" t="s">
        <v>44</v>
      </c>
      <c r="J7" s="17" t="s">
        <v>45</v>
      </c>
      <c r="K7" s="17" t="s">
        <v>46</v>
      </c>
      <c r="L7" s="17" t="s">
        <v>47</v>
      </c>
      <c r="M7" s="17" t="s">
        <v>48</v>
      </c>
      <c r="N7" s="19" t="s">
        <v>49</v>
      </c>
    </row>
    <row r="8" customFormat="false" ht="45.75" hidden="false" customHeight="true" outlineLevel="0" collapsed="false">
      <c r="A8" s="20" t="s">
        <v>36</v>
      </c>
      <c r="B8" s="20" t="s">
        <v>37</v>
      </c>
      <c r="C8" s="20" t="s">
        <v>38</v>
      </c>
      <c r="D8" s="20" t="s">
        <v>39</v>
      </c>
      <c r="E8" s="21" t="s">
        <v>50</v>
      </c>
      <c r="F8" s="20" t="s">
        <v>51</v>
      </c>
      <c r="G8" s="20" t="s">
        <v>42</v>
      </c>
      <c r="H8" s="20" t="s">
        <v>52</v>
      </c>
      <c r="I8" s="20" t="s">
        <v>53</v>
      </c>
      <c r="J8" s="20" t="s">
        <v>54</v>
      </c>
      <c r="K8" s="20" t="s">
        <v>46</v>
      </c>
      <c r="L8" s="20" t="s">
        <v>55</v>
      </c>
      <c r="M8" s="20"/>
      <c r="N8" s="22" t="s">
        <v>49</v>
      </c>
    </row>
    <row r="9" customFormat="false" ht="42" hidden="false" customHeight="true" outlineLevel="0" collapsed="false">
      <c r="A9" s="23"/>
      <c r="B9" s="23"/>
      <c r="C9" s="23"/>
      <c r="D9" s="23"/>
      <c r="E9" s="24"/>
      <c r="F9" s="23"/>
      <c r="G9" s="23"/>
      <c r="H9" s="23"/>
      <c r="I9" s="23"/>
      <c r="J9" s="23"/>
      <c r="K9" s="23"/>
      <c r="L9" s="23"/>
      <c r="M9" s="23"/>
      <c r="N9" s="25"/>
      <c r="O9" s="26" t="str">
        <f aca="false">IF($E9="","",IFERROR(INT($E9),IFERROR(VALUE(LEFT($E9,FIND(".",$E9)-1)),"?")))</f>
        <v/>
      </c>
    </row>
    <row r="10" customFormat="false" ht="39.75" hidden="false" customHeight="true" outlineLevel="0" collapsed="false">
      <c r="A10" s="27"/>
      <c r="B10" s="27"/>
      <c r="C10" s="27"/>
      <c r="D10" s="27"/>
      <c r="E10" s="28"/>
      <c r="F10" s="27"/>
      <c r="G10" s="27"/>
      <c r="H10" s="27"/>
      <c r="I10" s="27"/>
      <c r="J10" s="27"/>
      <c r="K10" s="27"/>
      <c r="L10" s="27"/>
      <c r="M10" s="27"/>
      <c r="N10" s="29"/>
      <c r="O10" s="30" t="str">
        <f aca="false">IF($E10="","",IFERROR(INT($E10),IFERROR(VALUE(LEFT($E10,FIND(".",$E10)-1)),"?")))</f>
        <v/>
      </c>
    </row>
    <row r="11" customFormat="false" ht="39.75" hidden="false" customHeight="true" outlineLevel="0" collapsed="false">
      <c r="A11" s="31"/>
      <c r="B11" s="31"/>
      <c r="C11" s="31"/>
      <c r="D11" s="31"/>
      <c r="E11" s="32"/>
      <c r="F11" s="31"/>
      <c r="G11" s="31"/>
      <c r="H11" s="31"/>
      <c r="I11" s="31"/>
      <c r="J11" s="31"/>
      <c r="K11" s="31"/>
      <c r="L11" s="31"/>
      <c r="M11" s="31"/>
      <c r="N11" s="25"/>
      <c r="O11" s="30" t="str">
        <f aca="false">IF($E11="","",IFERROR(INT($E11),IFERROR(VALUE(LEFT($E11,FIND(".",$E11)-1)),"?")))</f>
        <v/>
      </c>
    </row>
    <row r="12" customFormat="false" ht="39.75" hidden="false" customHeight="true" outlineLevel="0" collapsed="false">
      <c r="A12" s="27"/>
      <c r="B12" s="27"/>
      <c r="C12" s="27"/>
      <c r="D12" s="27"/>
      <c r="E12" s="28"/>
      <c r="F12" s="27"/>
      <c r="G12" s="27"/>
      <c r="H12" s="27"/>
      <c r="I12" s="27"/>
      <c r="J12" s="27"/>
      <c r="K12" s="27"/>
      <c r="L12" s="27"/>
      <c r="M12" s="27"/>
      <c r="N12" s="29"/>
      <c r="O12" s="30" t="str">
        <f aca="false">IF($E12="","",IFERROR(INT($E12),IFERROR(VALUE(LEFT($E12,FIND(".",$E12)-1)),"?")))</f>
        <v/>
      </c>
    </row>
    <row r="13" customFormat="false" ht="39.75" hidden="false" customHeight="true" outlineLevel="0" collapsed="false">
      <c r="A13" s="31"/>
      <c r="B13" s="31"/>
      <c r="C13" s="31"/>
      <c r="D13" s="31"/>
      <c r="E13" s="32"/>
      <c r="F13" s="31"/>
      <c r="G13" s="31"/>
      <c r="H13" s="31"/>
      <c r="I13" s="31"/>
      <c r="J13" s="31"/>
      <c r="K13" s="31"/>
      <c r="L13" s="31"/>
      <c r="M13" s="31"/>
      <c r="N13" s="25"/>
      <c r="O13" s="30" t="str">
        <f aca="false">IF($E13="","",IFERROR(INT($E13),IFERROR(VALUE(LEFT($E13,FIND(".",$E13)-1)),"?")))</f>
        <v/>
      </c>
    </row>
    <row r="14" customFormat="false" ht="39.75" hidden="false" customHeight="true" outlineLevel="0" collapsed="false">
      <c r="A14" s="27"/>
      <c r="B14" s="27"/>
      <c r="C14" s="27"/>
      <c r="D14" s="27"/>
      <c r="E14" s="28"/>
      <c r="F14" s="27"/>
      <c r="G14" s="27"/>
      <c r="H14" s="27"/>
      <c r="I14" s="27"/>
      <c r="J14" s="27"/>
      <c r="K14" s="27"/>
      <c r="L14" s="27"/>
      <c r="M14" s="27"/>
      <c r="N14" s="29"/>
      <c r="O14" s="30" t="str">
        <f aca="false">IF($E14="","",IFERROR(INT($E14),IFERROR(VALUE(LEFT($E14,FIND(".",$E14)-1)),"?")))</f>
        <v/>
      </c>
    </row>
    <row r="15" customFormat="false" ht="39.75" hidden="false" customHeight="true" outlineLevel="0" collapsed="false">
      <c r="A15" s="31"/>
      <c r="B15" s="31"/>
      <c r="C15" s="31"/>
      <c r="D15" s="31"/>
      <c r="E15" s="32"/>
      <c r="F15" s="31"/>
      <c r="G15" s="31"/>
      <c r="H15" s="31"/>
      <c r="I15" s="31"/>
      <c r="J15" s="31"/>
      <c r="K15" s="31"/>
      <c r="L15" s="31"/>
      <c r="M15" s="31"/>
      <c r="N15" s="25"/>
      <c r="O15" s="30" t="str">
        <f aca="false">IF($E15="","",IFERROR(INT($E15),IFERROR(VALUE(LEFT($E15,FIND(".",$E15)-1)),"?")))</f>
        <v/>
      </c>
    </row>
    <row r="16" customFormat="false" ht="39.75" hidden="false" customHeight="true" outlineLevel="0" collapsed="false">
      <c r="A16" s="27"/>
      <c r="B16" s="27"/>
      <c r="C16" s="27"/>
      <c r="D16" s="27"/>
      <c r="E16" s="28"/>
      <c r="F16" s="27"/>
      <c r="G16" s="27"/>
      <c r="H16" s="27"/>
      <c r="I16" s="27"/>
      <c r="J16" s="27"/>
      <c r="K16" s="27"/>
      <c r="L16" s="27"/>
      <c r="M16" s="27"/>
      <c r="N16" s="29"/>
      <c r="O16" s="30" t="str">
        <f aca="false">IF($E16="","",IFERROR(INT($E16),IFERROR(VALUE(LEFT($E16,FIND(".",$E16)-1)),"?")))</f>
        <v/>
      </c>
    </row>
    <row r="17" customFormat="false" ht="39.75" hidden="false" customHeight="true" outlineLevel="0" collapsed="false">
      <c r="A17" s="31"/>
      <c r="B17" s="31"/>
      <c r="C17" s="31"/>
      <c r="D17" s="31"/>
      <c r="E17" s="32"/>
      <c r="F17" s="31"/>
      <c r="G17" s="31"/>
      <c r="H17" s="31"/>
      <c r="I17" s="31"/>
      <c r="J17" s="31"/>
      <c r="K17" s="31"/>
      <c r="L17" s="31"/>
      <c r="M17" s="31"/>
      <c r="N17" s="25"/>
      <c r="O17" s="30" t="str">
        <f aca="false">IF($E17="","",IFERROR(INT($E17),IFERROR(VALUE(LEFT($E17,FIND(".",$E17)-1)),"?")))</f>
        <v/>
      </c>
    </row>
    <row r="18" customFormat="false" ht="39.75" hidden="false" customHeight="true" outlineLevel="0" collapsed="false">
      <c r="A18" s="27"/>
      <c r="B18" s="27"/>
      <c r="C18" s="27"/>
      <c r="D18" s="27"/>
      <c r="E18" s="28"/>
      <c r="F18" s="27"/>
      <c r="G18" s="27"/>
      <c r="H18" s="27"/>
      <c r="I18" s="27"/>
      <c r="J18" s="27"/>
      <c r="K18" s="27"/>
      <c r="L18" s="27"/>
      <c r="M18" s="27"/>
      <c r="N18" s="29"/>
      <c r="O18" s="30" t="str">
        <f aca="false">IF($E18="","",IFERROR(INT($E18),IFERROR(VALUE(LEFT($E18,FIND(".",$E18)-1)),"?")))</f>
        <v/>
      </c>
    </row>
    <row r="19" customFormat="false" ht="39.75" hidden="false" customHeight="true" outlineLevel="0" collapsed="false">
      <c r="A19" s="31"/>
      <c r="B19" s="31"/>
      <c r="C19" s="31"/>
      <c r="D19" s="31"/>
      <c r="E19" s="32"/>
      <c r="F19" s="31"/>
      <c r="G19" s="31"/>
      <c r="H19" s="31"/>
      <c r="I19" s="31"/>
      <c r="J19" s="31"/>
      <c r="K19" s="31"/>
      <c r="L19" s="31"/>
      <c r="M19" s="31"/>
      <c r="N19" s="25"/>
      <c r="O19" s="30" t="str">
        <f aca="false">IF($E19="","",IFERROR(INT($E19),IFERROR(VALUE(LEFT($E19,FIND(".",$E19)-1)),"?")))</f>
        <v/>
      </c>
    </row>
    <row r="20" customFormat="false" ht="39.75" hidden="false" customHeight="true" outlineLevel="0" collapsed="false">
      <c r="A20" s="27"/>
      <c r="B20" s="27"/>
      <c r="C20" s="27"/>
      <c r="D20" s="27"/>
      <c r="E20" s="28"/>
      <c r="F20" s="27"/>
      <c r="G20" s="27"/>
      <c r="H20" s="27"/>
      <c r="I20" s="27"/>
      <c r="J20" s="27"/>
      <c r="K20" s="27"/>
      <c r="L20" s="27"/>
      <c r="M20" s="27"/>
      <c r="N20" s="29"/>
      <c r="O20" s="30" t="str">
        <f aca="false">IF($E20="","",IFERROR(INT($E20),IFERROR(VALUE(LEFT($E20,FIND(".",$E20)-1)),"?")))</f>
        <v/>
      </c>
    </row>
    <row r="21" customFormat="false" ht="39.75" hidden="false" customHeight="true" outlineLevel="0" collapsed="false">
      <c r="A21" s="31"/>
      <c r="B21" s="31"/>
      <c r="C21" s="31"/>
      <c r="D21" s="31"/>
      <c r="E21" s="32"/>
      <c r="F21" s="31"/>
      <c r="G21" s="31"/>
      <c r="H21" s="31"/>
      <c r="I21" s="31"/>
      <c r="J21" s="31"/>
      <c r="K21" s="31"/>
      <c r="L21" s="31"/>
      <c r="M21" s="31"/>
      <c r="N21" s="25"/>
      <c r="O21" s="30" t="str">
        <f aca="false">IF($E21="","",IFERROR(INT($E21),IFERROR(VALUE(LEFT($E21,FIND(".",$E21)-1)),"?")))</f>
        <v/>
      </c>
    </row>
    <row r="22" customFormat="false" ht="39.75" hidden="false" customHeight="true" outlineLevel="0" collapsed="false">
      <c r="A22" s="27"/>
      <c r="B22" s="27"/>
      <c r="C22" s="27"/>
      <c r="D22" s="27"/>
      <c r="E22" s="28"/>
      <c r="F22" s="27"/>
      <c r="G22" s="27"/>
      <c r="H22" s="27"/>
      <c r="I22" s="27"/>
      <c r="J22" s="27"/>
      <c r="K22" s="27"/>
      <c r="L22" s="27"/>
      <c r="M22" s="27"/>
      <c r="N22" s="29"/>
      <c r="O22" s="30" t="str">
        <f aca="false">IF($E22="","",IFERROR(INT($E22),IFERROR(VALUE(LEFT($E22,FIND(".",$E22)-1)),"?")))</f>
        <v/>
      </c>
    </row>
    <row r="23" customFormat="false" ht="39.75" hidden="false" customHeight="true" outlineLevel="0" collapsed="false">
      <c r="A23" s="31"/>
      <c r="B23" s="31"/>
      <c r="C23" s="31"/>
      <c r="D23" s="31"/>
      <c r="E23" s="32"/>
      <c r="F23" s="31"/>
      <c r="G23" s="31"/>
      <c r="H23" s="31"/>
      <c r="I23" s="31"/>
      <c r="J23" s="31"/>
      <c r="K23" s="31"/>
      <c r="L23" s="31"/>
      <c r="M23" s="31"/>
      <c r="N23" s="25"/>
      <c r="O23" s="30" t="str">
        <f aca="false">IF($E23="","",IFERROR(INT($E23),IFERROR(VALUE(LEFT($E23,FIND(".",$E23)-1)),"?")))</f>
        <v/>
      </c>
    </row>
    <row r="24" customFormat="false" ht="39.75" hidden="false" customHeight="true" outlineLevel="0" collapsed="false">
      <c r="A24" s="27"/>
      <c r="B24" s="27"/>
      <c r="C24" s="27"/>
      <c r="D24" s="27"/>
      <c r="E24" s="28"/>
      <c r="F24" s="27"/>
      <c r="G24" s="27"/>
      <c r="H24" s="27"/>
      <c r="I24" s="27"/>
      <c r="J24" s="27"/>
      <c r="K24" s="27"/>
      <c r="L24" s="27"/>
      <c r="M24" s="27"/>
      <c r="N24" s="29"/>
      <c r="O24" s="30" t="str">
        <f aca="false">IF($E24="","",IFERROR(INT($E24),IFERROR(VALUE(LEFT($E24,FIND(".",$E24)-1)),"?")))</f>
        <v/>
      </c>
    </row>
    <row r="25" customFormat="false" ht="39.75" hidden="false" customHeight="true" outlineLevel="0" collapsed="false">
      <c r="A25" s="31"/>
      <c r="B25" s="31"/>
      <c r="C25" s="31"/>
      <c r="D25" s="31"/>
      <c r="E25" s="32"/>
      <c r="F25" s="31"/>
      <c r="G25" s="31"/>
      <c r="H25" s="31"/>
      <c r="I25" s="31"/>
      <c r="J25" s="31"/>
      <c r="K25" s="31"/>
      <c r="L25" s="31"/>
      <c r="M25" s="31"/>
      <c r="N25" s="25"/>
      <c r="O25" s="30" t="str">
        <f aca="false">IF($E25="","",IFERROR(INT($E25),IFERROR(VALUE(LEFT($E25,FIND(".",$E25)-1)),"?")))</f>
        <v/>
      </c>
    </row>
    <row r="26" customFormat="false" ht="39.75" hidden="false" customHeight="true" outlineLevel="0" collapsed="false">
      <c r="A26" s="27"/>
      <c r="B26" s="27"/>
      <c r="C26" s="27"/>
      <c r="D26" s="27"/>
      <c r="E26" s="28"/>
      <c r="F26" s="27"/>
      <c r="G26" s="27"/>
      <c r="H26" s="27"/>
      <c r="I26" s="27"/>
      <c r="J26" s="27"/>
      <c r="K26" s="27"/>
      <c r="L26" s="27"/>
      <c r="M26" s="27"/>
      <c r="N26" s="29"/>
      <c r="O26" s="30" t="str">
        <f aca="false">IF($E26="","",IFERROR(INT($E26),IFERROR(VALUE(LEFT($E26,FIND(".",$E26)-1)),"?")))</f>
        <v/>
      </c>
    </row>
    <row r="27" customFormat="false" ht="39.75" hidden="false" customHeight="true" outlineLevel="0" collapsed="false">
      <c r="A27" s="31"/>
      <c r="B27" s="31"/>
      <c r="C27" s="31"/>
      <c r="D27" s="31"/>
      <c r="E27" s="32"/>
      <c r="F27" s="31"/>
      <c r="G27" s="31"/>
      <c r="H27" s="31"/>
      <c r="I27" s="31"/>
      <c r="J27" s="31"/>
      <c r="K27" s="31"/>
      <c r="L27" s="31"/>
      <c r="M27" s="31"/>
      <c r="N27" s="25"/>
      <c r="O27" s="30" t="str">
        <f aca="false">IF($E27="","",IFERROR(INT($E27),IFERROR(VALUE(LEFT($E27,FIND(".",$E27)-1)),"?")))</f>
        <v/>
      </c>
    </row>
    <row r="28" customFormat="false" ht="39.75" hidden="false" customHeight="true" outlineLevel="0" collapsed="false">
      <c r="A28" s="27"/>
      <c r="B28" s="27"/>
      <c r="C28" s="27"/>
      <c r="D28" s="27"/>
      <c r="E28" s="28"/>
      <c r="F28" s="27"/>
      <c r="G28" s="27"/>
      <c r="H28" s="27"/>
      <c r="I28" s="27"/>
      <c r="J28" s="27"/>
      <c r="K28" s="27"/>
      <c r="L28" s="27"/>
      <c r="M28" s="27"/>
      <c r="N28" s="29"/>
      <c r="O28" s="30" t="str">
        <f aca="false">IF($E28="","",IFERROR(INT($E28),IFERROR(VALUE(LEFT($E28,FIND(".",$E28)-1)),"?")))</f>
        <v/>
      </c>
    </row>
    <row r="29" customFormat="false" ht="39.75" hidden="false" customHeight="true" outlineLevel="0" collapsed="false">
      <c r="A29" s="31"/>
      <c r="B29" s="31"/>
      <c r="C29" s="31"/>
      <c r="D29" s="31"/>
      <c r="E29" s="32"/>
      <c r="F29" s="31"/>
      <c r="G29" s="31"/>
      <c r="H29" s="31"/>
      <c r="I29" s="31"/>
      <c r="J29" s="31"/>
      <c r="K29" s="31"/>
      <c r="L29" s="31"/>
      <c r="M29" s="31"/>
      <c r="N29" s="25"/>
      <c r="O29" s="30" t="str">
        <f aca="false">IF($E29="","",IFERROR(INT($E29),IFERROR(VALUE(LEFT($E29,FIND(".",$E29)-1)),"?")))</f>
        <v/>
      </c>
    </row>
    <row r="30" customFormat="false" ht="39.75" hidden="false" customHeight="true" outlineLevel="0" collapsed="false">
      <c r="A30" s="27"/>
      <c r="B30" s="27"/>
      <c r="C30" s="27"/>
      <c r="D30" s="27"/>
      <c r="E30" s="28"/>
      <c r="F30" s="27"/>
      <c r="G30" s="27"/>
      <c r="H30" s="27"/>
      <c r="I30" s="27"/>
      <c r="J30" s="27"/>
      <c r="K30" s="27"/>
      <c r="L30" s="27"/>
      <c r="M30" s="27"/>
      <c r="N30" s="29"/>
      <c r="O30" s="30" t="str">
        <f aca="false">IF($E30="","",IFERROR(INT($E30),IFERROR(VALUE(LEFT($E30,FIND(".",$E30)-1)),"?")))</f>
        <v/>
      </c>
    </row>
    <row r="31" customFormat="false" ht="39.75" hidden="false" customHeight="true" outlineLevel="0" collapsed="false">
      <c r="A31" s="31"/>
      <c r="B31" s="31"/>
      <c r="C31" s="31"/>
      <c r="D31" s="31"/>
      <c r="E31" s="32"/>
      <c r="F31" s="31"/>
      <c r="G31" s="31"/>
      <c r="H31" s="31"/>
      <c r="I31" s="31"/>
      <c r="J31" s="31"/>
      <c r="K31" s="31"/>
      <c r="L31" s="31"/>
      <c r="M31" s="31"/>
      <c r="N31" s="25"/>
      <c r="O31" s="30" t="str">
        <f aca="false">IF($E31="","",IFERROR(INT($E31),IFERROR(VALUE(LEFT($E31,FIND(".",$E31)-1)),"?")))</f>
        <v/>
      </c>
    </row>
    <row r="32" customFormat="false" ht="39.75" hidden="false" customHeight="true" outlineLevel="0" collapsed="false">
      <c r="A32" s="27"/>
      <c r="B32" s="27"/>
      <c r="C32" s="27"/>
      <c r="D32" s="27"/>
      <c r="E32" s="28"/>
      <c r="F32" s="27"/>
      <c r="G32" s="27"/>
      <c r="H32" s="27"/>
      <c r="I32" s="27"/>
      <c r="J32" s="27"/>
      <c r="K32" s="27"/>
      <c r="L32" s="27"/>
      <c r="M32" s="27"/>
      <c r="N32" s="29"/>
      <c r="O32" s="30" t="str">
        <f aca="false">IF($E32="","",IFERROR(INT($E32),IFERROR(VALUE(LEFT($E32,FIND(".",$E32)-1)),"?")))</f>
        <v/>
      </c>
    </row>
    <row r="33" customFormat="false" ht="39.75" hidden="false" customHeight="true" outlineLevel="0" collapsed="false">
      <c r="A33" s="31"/>
      <c r="B33" s="31"/>
      <c r="C33" s="31"/>
      <c r="D33" s="31"/>
      <c r="E33" s="32"/>
      <c r="F33" s="31"/>
      <c r="G33" s="31"/>
      <c r="H33" s="31"/>
      <c r="I33" s="31"/>
      <c r="J33" s="31"/>
      <c r="K33" s="31"/>
      <c r="L33" s="31"/>
      <c r="M33" s="31"/>
      <c r="N33" s="25"/>
      <c r="O33" s="30" t="str">
        <f aca="false">IF($E33="","",IFERROR(INT($E33),IFERROR(VALUE(LEFT($E33,FIND(".",$E33)-1)),"?")))</f>
        <v/>
      </c>
    </row>
    <row r="34" customFormat="false" ht="39.75" hidden="false" customHeight="true" outlineLevel="0" collapsed="false">
      <c r="A34" s="27"/>
      <c r="B34" s="27"/>
      <c r="C34" s="27"/>
      <c r="D34" s="27"/>
      <c r="E34" s="28"/>
      <c r="F34" s="27"/>
      <c r="G34" s="27"/>
      <c r="H34" s="27"/>
      <c r="I34" s="27"/>
      <c r="J34" s="27"/>
      <c r="K34" s="27"/>
      <c r="L34" s="27"/>
      <c r="M34" s="27"/>
      <c r="N34" s="29"/>
      <c r="O34" s="30" t="str">
        <f aca="false">IF($E34="","",IFERROR(INT($E34),IFERROR(VALUE(LEFT($E34,FIND(".",$E34)-1)),"?")))</f>
        <v/>
      </c>
    </row>
    <row r="35" customFormat="false" ht="39.75" hidden="false" customHeight="true" outlineLevel="0" collapsed="false">
      <c r="A35" s="31"/>
      <c r="B35" s="31"/>
      <c r="C35" s="31"/>
      <c r="D35" s="31"/>
      <c r="E35" s="32"/>
      <c r="F35" s="31"/>
      <c r="G35" s="31"/>
      <c r="H35" s="31"/>
      <c r="I35" s="31"/>
      <c r="J35" s="31"/>
      <c r="K35" s="31"/>
      <c r="L35" s="31"/>
      <c r="M35" s="31"/>
      <c r="N35" s="25"/>
      <c r="O35" s="30" t="str">
        <f aca="false">IF($E35="","",IFERROR(INT($E35),IFERROR(VALUE(LEFT($E35,FIND(".",$E35)-1)),"?")))</f>
        <v/>
      </c>
    </row>
    <row r="36" customFormat="false" ht="39.75" hidden="false" customHeight="true" outlineLevel="0" collapsed="false">
      <c r="A36" s="27"/>
      <c r="B36" s="27"/>
      <c r="C36" s="27"/>
      <c r="D36" s="27"/>
      <c r="E36" s="28"/>
      <c r="F36" s="27"/>
      <c r="G36" s="27"/>
      <c r="H36" s="27"/>
      <c r="I36" s="27"/>
      <c r="J36" s="27"/>
      <c r="K36" s="27"/>
      <c r="L36" s="27"/>
      <c r="M36" s="27"/>
      <c r="N36" s="29"/>
      <c r="O36" s="30" t="str">
        <f aca="false">IF($E36="","",IFERROR(INT($E36),IFERROR(VALUE(LEFT($E36,FIND(".",$E36)-1)),"?")))</f>
        <v/>
      </c>
    </row>
    <row r="37" customFormat="false" ht="39.75" hidden="false" customHeight="true" outlineLevel="0" collapsed="false">
      <c r="A37" s="31"/>
      <c r="B37" s="31"/>
      <c r="C37" s="31"/>
      <c r="D37" s="31"/>
      <c r="E37" s="32"/>
      <c r="F37" s="31"/>
      <c r="G37" s="31"/>
      <c r="H37" s="31"/>
      <c r="I37" s="31"/>
      <c r="J37" s="31"/>
      <c r="K37" s="31"/>
      <c r="L37" s="31"/>
      <c r="M37" s="31"/>
      <c r="N37" s="25"/>
      <c r="O37" s="30" t="str">
        <f aca="false">IF($E37="","",IFERROR(INT($E37),IFERROR(VALUE(LEFT($E37,FIND(".",$E37)-1)),"?")))</f>
        <v/>
      </c>
    </row>
    <row r="38" customFormat="false" ht="39.75" hidden="false" customHeight="true" outlineLevel="0" collapsed="false">
      <c r="A38" s="27"/>
      <c r="B38" s="27"/>
      <c r="C38" s="27"/>
      <c r="D38" s="27"/>
      <c r="E38" s="28"/>
      <c r="F38" s="27"/>
      <c r="G38" s="27"/>
      <c r="H38" s="27"/>
      <c r="I38" s="27"/>
      <c r="J38" s="27"/>
      <c r="K38" s="27"/>
      <c r="L38" s="27"/>
      <c r="M38" s="27"/>
      <c r="N38" s="29"/>
      <c r="O38" s="30" t="str">
        <f aca="false">IF($E38="","",IFERROR(INT($E38),IFERROR(VALUE(LEFT($E38,FIND(".",$E38)-1)),"?")))</f>
        <v/>
      </c>
    </row>
    <row r="39" customFormat="false" ht="39.75" hidden="false" customHeight="true" outlineLevel="0" collapsed="false">
      <c r="A39" s="31"/>
      <c r="B39" s="31"/>
      <c r="C39" s="31"/>
      <c r="D39" s="31"/>
      <c r="E39" s="32"/>
      <c r="F39" s="31"/>
      <c r="G39" s="31"/>
      <c r="H39" s="31"/>
      <c r="I39" s="31"/>
      <c r="J39" s="31"/>
      <c r="K39" s="31"/>
      <c r="L39" s="31"/>
      <c r="M39" s="31"/>
      <c r="N39" s="25"/>
      <c r="O39" s="30" t="str">
        <f aca="false">IF($E39="","",IFERROR(INT($E39),IFERROR(VALUE(LEFT($E39,FIND(".",$E39)-1)),"?")))</f>
        <v/>
      </c>
    </row>
    <row r="40" customFormat="false" ht="39.75" hidden="false" customHeight="true" outlineLevel="0" collapsed="false">
      <c r="A40" s="27"/>
      <c r="B40" s="27"/>
      <c r="C40" s="27"/>
      <c r="D40" s="27"/>
      <c r="E40" s="28"/>
      <c r="F40" s="27"/>
      <c r="G40" s="27"/>
      <c r="H40" s="27"/>
      <c r="I40" s="27"/>
      <c r="J40" s="27"/>
      <c r="K40" s="27"/>
      <c r="L40" s="27"/>
      <c r="M40" s="27"/>
      <c r="N40" s="29"/>
      <c r="O40" s="30" t="str">
        <f aca="false">IF($E40="","",IFERROR(INT($E40),IFERROR(VALUE(LEFT($E40,FIND(".",$E40)-1)),"?")))</f>
        <v/>
      </c>
    </row>
    <row r="41" customFormat="false" ht="39.75" hidden="false" customHeight="true" outlineLevel="0" collapsed="false">
      <c r="A41" s="31"/>
      <c r="B41" s="31"/>
      <c r="C41" s="31"/>
      <c r="D41" s="31"/>
      <c r="E41" s="32"/>
      <c r="F41" s="31"/>
      <c r="G41" s="31"/>
      <c r="H41" s="31"/>
      <c r="I41" s="31"/>
      <c r="J41" s="31"/>
      <c r="K41" s="31"/>
      <c r="L41" s="31"/>
      <c r="M41" s="31"/>
      <c r="N41" s="25"/>
      <c r="O41" s="30" t="str">
        <f aca="false">IF($E41="","",IFERROR(INT($E41),IFERROR(VALUE(LEFT($E41,FIND(".",$E41)-1)),"?")))</f>
        <v/>
      </c>
    </row>
    <row r="42" customFormat="false" ht="39.75" hidden="false" customHeight="true" outlineLevel="0" collapsed="false">
      <c r="A42" s="27"/>
      <c r="B42" s="27"/>
      <c r="C42" s="27"/>
      <c r="D42" s="27"/>
      <c r="E42" s="28"/>
      <c r="F42" s="27"/>
      <c r="G42" s="27"/>
      <c r="H42" s="27"/>
      <c r="I42" s="27"/>
      <c r="J42" s="27"/>
      <c r="K42" s="27"/>
      <c r="L42" s="27"/>
      <c r="M42" s="27"/>
      <c r="N42" s="29"/>
      <c r="O42" s="30" t="str">
        <f aca="false">IF($E42="","",IFERROR(INT($E42),IFERROR(VALUE(LEFT($E42,FIND(".",$E42)-1)),"?")))</f>
        <v/>
      </c>
    </row>
    <row r="43" customFormat="false" ht="39.75" hidden="false" customHeight="true" outlineLevel="0" collapsed="false">
      <c r="A43" s="31"/>
      <c r="B43" s="31"/>
      <c r="C43" s="31"/>
      <c r="D43" s="31"/>
      <c r="E43" s="32"/>
      <c r="F43" s="31"/>
      <c r="G43" s="31"/>
      <c r="H43" s="31"/>
      <c r="I43" s="31"/>
      <c r="J43" s="31"/>
      <c r="K43" s="31"/>
      <c r="L43" s="31"/>
      <c r="M43" s="31"/>
      <c r="N43" s="25"/>
      <c r="O43" s="30" t="str">
        <f aca="false">IF($E43="","",IFERROR(INT($E43),IFERROR(VALUE(LEFT($E43,FIND(".",$E43)-1)),"?")))</f>
        <v/>
      </c>
    </row>
    <row r="44" customFormat="false" ht="39.75" hidden="false" customHeight="true" outlineLevel="0" collapsed="false">
      <c r="A44" s="27"/>
      <c r="B44" s="27"/>
      <c r="C44" s="27"/>
      <c r="D44" s="27"/>
      <c r="E44" s="28"/>
      <c r="F44" s="27"/>
      <c r="G44" s="27"/>
      <c r="H44" s="27"/>
      <c r="I44" s="27"/>
      <c r="J44" s="27"/>
      <c r="K44" s="27"/>
      <c r="L44" s="27"/>
      <c r="M44" s="27"/>
      <c r="N44" s="29"/>
      <c r="O44" s="30" t="str">
        <f aca="false">IF($E44="","",IFERROR(INT($E44),IFERROR(VALUE(LEFT($E44,FIND(".",$E44)-1)),"?")))</f>
        <v/>
      </c>
    </row>
    <row r="45" customFormat="false" ht="39.75" hidden="false" customHeight="true" outlineLevel="0" collapsed="false">
      <c r="A45" s="31"/>
      <c r="B45" s="31"/>
      <c r="C45" s="31"/>
      <c r="D45" s="31"/>
      <c r="E45" s="32"/>
      <c r="F45" s="31"/>
      <c r="G45" s="31"/>
      <c r="H45" s="31"/>
      <c r="I45" s="31"/>
      <c r="J45" s="31"/>
      <c r="K45" s="31"/>
      <c r="L45" s="31"/>
      <c r="M45" s="31"/>
      <c r="N45" s="25"/>
      <c r="O45" s="30" t="str">
        <f aca="false">IF($E45="","",IFERROR(INT($E45),IFERROR(VALUE(LEFT($E45,FIND(".",$E45)-1)),"?")))</f>
        <v/>
      </c>
    </row>
    <row r="46" customFormat="false" ht="39.75" hidden="false" customHeight="true" outlineLevel="0" collapsed="false">
      <c r="A46" s="27"/>
      <c r="B46" s="27"/>
      <c r="C46" s="27"/>
      <c r="D46" s="27"/>
      <c r="E46" s="28"/>
      <c r="F46" s="27"/>
      <c r="G46" s="27"/>
      <c r="H46" s="27"/>
      <c r="I46" s="27"/>
      <c r="J46" s="27"/>
      <c r="K46" s="27"/>
      <c r="L46" s="27"/>
      <c r="M46" s="27"/>
      <c r="N46" s="29"/>
      <c r="O46" s="30" t="str">
        <f aca="false">IF($E46="","",IFERROR(INT($E46),IFERROR(VALUE(LEFT($E46,FIND(".",$E46)-1)),"?")))</f>
        <v/>
      </c>
    </row>
    <row r="47" customFormat="false" ht="39.75" hidden="false" customHeight="true" outlineLevel="0" collapsed="false">
      <c r="A47" s="31"/>
      <c r="B47" s="31"/>
      <c r="C47" s="31"/>
      <c r="D47" s="31"/>
      <c r="E47" s="32"/>
      <c r="F47" s="31"/>
      <c r="G47" s="31"/>
      <c r="H47" s="31"/>
      <c r="I47" s="31"/>
      <c r="J47" s="31"/>
      <c r="K47" s="31"/>
      <c r="L47" s="31"/>
      <c r="M47" s="31"/>
      <c r="N47" s="25"/>
      <c r="O47" s="30" t="str">
        <f aca="false">IF($E47="","",IFERROR(INT($E47),IFERROR(VALUE(LEFT($E47,FIND(".",$E47)-1)),"?")))</f>
        <v/>
      </c>
    </row>
    <row r="48" customFormat="false" ht="39.75" hidden="false" customHeight="true" outlineLevel="0" collapsed="false">
      <c r="A48" s="27"/>
      <c r="B48" s="27"/>
      <c r="C48" s="27"/>
      <c r="D48" s="27"/>
      <c r="E48" s="28"/>
      <c r="F48" s="27"/>
      <c r="G48" s="27"/>
      <c r="H48" s="27"/>
      <c r="I48" s="27"/>
      <c r="J48" s="27"/>
      <c r="K48" s="27"/>
      <c r="L48" s="27"/>
      <c r="M48" s="27"/>
      <c r="N48" s="29"/>
      <c r="O48" s="30" t="str">
        <f aca="false">IF($E48="","",IFERROR(INT($E48),IFERROR(VALUE(LEFT($E48,FIND(".",$E48)-1)),"?")))</f>
        <v/>
      </c>
    </row>
    <row r="49" customFormat="false" ht="39.75" hidden="false" customHeight="true" outlineLevel="0" collapsed="false">
      <c r="A49" s="31"/>
      <c r="B49" s="31"/>
      <c r="C49" s="31"/>
      <c r="D49" s="31"/>
      <c r="E49" s="32"/>
      <c r="F49" s="31"/>
      <c r="G49" s="31"/>
      <c r="H49" s="31"/>
      <c r="I49" s="31"/>
      <c r="J49" s="31"/>
      <c r="K49" s="31"/>
      <c r="L49" s="31"/>
      <c r="M49" s="31"/>
      <c r="N49" s="25"/>
      <c r="O49" s="30" t="str">
        <f aca="false">IF($E49="","",IFERROR(INT($E49),IFERROR(VALUE(LEFT($E49,FIND(".",$E49)-1)),"?")))</f>
        <v/>
      </c>
    </row>
    <row r="50" customFormat="false" ht="39.75" hidden="false" customHeight="true" outlineLevel="0" collapsed="false">
      <c r="A50" s="27"/>
      <c r="B50" s="27"/>
      <c r="C50" s="27"/>
      <c r="D50" s="27"/>
      <c r="E50" s="28"/>
      <c r="F50" s="27"/>
      <c r="G50" s="27"/>
      <c r="H50" s="27"/>
      <c r="I50" s="27"/>
      <c r="J50" s="27"/>
      <c r="K50" s="27"/>
      <c r="L50" s="27"/>
      <c r="M50" s="27"/>
      <c r="N50" s="29"/>
      <c r="O50" s="30" t="str">
        <f aca="false">IF($E50="","",IFERROR(INT($E50),IFERROR(VALUE(LEFT($E50,FIND(".",$E50)-1)),"?")))</f>
        <v/>
      </c>
    </row>
    <row r="51" customFormat="false" ht="39.75" hidden="false" customHeight="true" outlineLevel="0" collapsed="false">
      <c r="A51" s="31"/>
      <c r="B51" s="31"/>
      <c r="C51" s="31"/>
      <c r="D51" s="31"/>
      <c r="E51" s="32"/>
      <c r="F51" s="31"/>
      <c r="G51" s="31"/>
      <c r="H51" s="31"/>
      <c r="I51" s="31"/>
      <c r="J51" s="31"/>
      <c r="K51" s="31"/>
      <c r="L51" s="31"/>
      <c r="M51" s="31"/>
      <c r="N51" s="25"/>
      <c r="O51" s="30" t="str">
        <f aca="false">IF($E51="","",IFERROR(INT($E51),IFERROR(VALUE(LEFT($E51,FIND(".",$E51)-1)),"?")))</f>
        <v/>
      </c>
    </row>
    <row r="52" customFormat="false" ht="39.75" hidden="false" customHeight="true" outlineLevel="0" collapsed="false">
      <c r="A52" s="27"/>
      <c r="B52" s="27"/>
      <c r="C52" s="27"/>
      <c r="D52" s="27"/>
      <c r="E52" s="28"/>
      <c r="F52" s="27"/>
      <c r="G52" s="27"/>
      <c r="H52" s="27"/>
      <c r="I52" s="27"/>
      <c r="J52" s="27"/>
      <c r="K52" s="27"/>
      <c r="L52" s="27"/>
      <c r="M52" s="27"/>
      <c r="N52" s="29"/>
      <c r="O52" s="30" t="str">
        <f aca="false">IF($E52="","",IFERROR(INT($E52),IFERROR(VALUE(LEFT($E52,FIND(".",$E52)-1)),"?")))</f>
        <v/>
      </c>
    </row>
    <row r="53" customFormat="false" ht="39.75" hidden="false" customHeight="true" outlineLevel="0" collapsed="false">
      <c r="A53" s="31"/>
      <c r="B53" s="31"/>
      <c r="C53" s="31"/>
      <c r="D53" s="31"/>
      <c r="E53" s="32"/>
      <c r="F53" s="31"/>
      <c r="G53" s="31"/>
      <c r="H53" s="31"/>
      <c r="I53" s="31"/>
      <c r="J53" s="31"/>
      <c r="K53" s="31"/>
      <c r="L53" s="31"/>
      <c r="M53" s="31"/>
      <c r="N53" s="25"/>
      <c r="O53" s="30" t="str">
        <f aca="false">IF($E53="","",IFERROR(INT($E53),IFERROR(VALUE(LEFT($E53,FIND(".",$E53)-1)),"?")))</f>
        <v/>
      </c>
    </row>
    <row r="54" customFormat="false" ht="39.75" hidden="false" customHeight="true" outlineLevel="0" collapsed="false">
      <c r="A54" s="27"/>
      <c r="B54" s="27"/>
      <c r="C54" s="27"/>
      <c r="D54" s="27"/>
      <c r="E54" s="28"/>
      <c r="F54" s="27"/>
      <c r="G54" s="27"/>
      <c r="H54" s="27"/>
      <c r="I54" s="27"/>
      <c r="J54" s="27"/>
      <c r="K54" s="27"/>
      <c r="L54" s="27"/>
      <c r="M54" s="27"/>
      <c r="N54" s="29"/>
      <c r="O54" s="30" t="str">
        <f aca="false">IF($E54="","",IFERROR(INT($E54),IFERROR(VALUE(LEFT($E54,FIND(".",$E54)-1)),"?")))</f>
        <v/>
      </c>
    </row>
    <row r="55" customFormat="false" ht="39.75" hidden="false" customHeight="true" outlineLevel="0" collapsed="false">
      <c r="A55" s="31"/>
      <c r="B55" s="31"/>
      <c r="C55" s="31"/>
      <c r="D55" s="31"/>
      <c r="E55" s="32"/>
      <c r="F55" s="31"/>
      <c r="G55" s="31"/>
      <c r="H55" s="31"/>
      <c r="I55" s="31"/>
      <c r="J55" s="31"/>
      <c r="K55" s="31"/>
      <c r="L55" s="31"/>
      <c r="M55" s="31"/>
      <c r="N55" s="25"/>
      <c r="O55" s="30" t="str">
        <f aca="false">IF($E55="","",IFERROR(INT($E55),IFERROR(VALUE(LEFT($E55,FIND(".",$E55)-1)),"?")))</f>
        <v/>
      </c>
    </row>
    <row r="56" customFormat="false" ht="39.75" hidden="false" customHeight="true" outlineLevel="0" collapsed="false">
      <c r="A56" s="27"/>
      <c r="B56" s="27"/>
      <c r="C56" s="27"/>
      <c r="D56" s="27"/>
      <c r="E56" s="28"/>
      <c r="F56" s="27"/>
      <c r="G56" s="27"/>
      <c r="H56" s="27"/>
      <c r="I56" s="27"/>
      <c r="J56" s="27"/>
      <c r="K56" s="27"/>
      <c r="L56" s="27"/>
      <c r="M56" s="27"/>
      <c r="N56" s="29"/>
      <c r="O56" s="30" t="str">
        <f aca="false">IF($E56="","",IFERROR(INT($E56),IFERROR(VALUE(LEFT($E56,FIND(".",$E56)-1)),"?")))</f>
        <v/>
      </c>
    </row>
    <row r="57" customFormat="false" ht="39.75" hidden="false" customHeight="true" outlineLevel="0" collapsed="false">
      <c r="A57" s="31"/>
      <c r="B57" s="31"/>
      <c r="C57" s="31"/>
      <c r="D57" s="31"/>
      <c r="E57" s="32"/>
      <c r="F57" s="31"/>
      <c r="G57" s="31"/>
      <c r="H57" s="31"/>
      <c r="I57" s="31"/>
      <c r="J57" s="31"/>
      <c r="K57" s="31"/>
      <c r="L57" s="31"/>
      <c r="M57" s="31"/>
      <c r="N57" s="25"/>
      <c r="O57" s="30" t="str">
        <f aca="false">IF($E57="","",IFERROR(INT($E57),IFERROR(VALUE(LEFT($E57,FIND(".",$E57)-1)),"?")))</f>
        <v/>
      </c>
    </row>
    <row r="58" customFormat="false" ht="39.75" hidden="false" customHeight="true" outlineLevel="0" collapsed="false">
      <c r="A58" s="27"/>
      <c r="B58" s="27"/>
      <c r="C58" s="27"/>
      <c r="D58" s="27"/>
      <c r="E58" s="28"/>
      <c r="F58" s="27"/>
      <c r="G58" s="27"/>
      <c r="H58" s="27"/>
      <c r="I58" s="27"/>
      <c r="J58" s="27"/>
      <c r="K58" s="27"/>
      <c r="L58" s="27"/>
      <c r="M58" s="27"/>
      <c r="N58" s="29"/>
      <c r="O58" s="30" t="str">
        <f aca="false">IF($E58="","",IFERROR(INT($E58),IFERROR(VALUE(LEFT($E58,FIND(".",$E58)-1)),"?")))</f>
        <v/>
      </c>
    </row>
    <row r="59" customFormat="false" ht="39.75" hidden="false" customHeight="true" outlineLevel="0" collapsed="false">
      <c r="A59" s="31"/>
      <c r="B59" s="31"/>
      <c r="C59" s="31"/>
      <c r="D59" s="31"/>
      <c r="E59" s="32"/>
      <c r="F59" s="31"/>
      <c r="G59" s="31"/>
      <c r="H59" s="31"/>
      <c r="I59" s="31"/>
      <c r="J59" s="31"/>
      <c r="K59" s="31"/>
      <c r="L59" s="31"/>
      <c r="M59" s="31"/>
      <c r="N59" s="25"/>
      <c r="O59" s="30" t="str">
        <f aca="false">IF($E59="","",IFERROR(INT($E59),IFERROR(VALUE(LEFT($E59,FIND(".",$E59)-1)),"?")))</f>
        <v/>
      </c>
    </row>
    <row r="60" customFormat="false" ht="39.75" hidden="false" customHeight="true" outlineLevel="0" collapsed="false">
      <c r="A60" s="27"/>
      <c r="B60" s="27"/>
      <c r="C60" s="27"/>
      <c r="D60" s="27"/>
      <c r="E60" s="28"/>
      <c r="F60" s="27"/>
      <c r="G60" s="27"/>
      <c r="H60" s="27"/>
      <c r="I60" s="27"/>
      <c r="J60" s="27"/>
      <c r="K60" s="27"/>
      <c r="L60" s="27"/>
      <c r="M60" s="27"/>
      <c r="N60" s="29"/>
      <c r="O60" s="30" t="str">
        <f aca="false">IF($E60="","",IFERROR(INT($E60),IFERROR(VALUE(LEFT($E60,FIND(".",$E60)-1)),"?")))</f>
        <v/>
      </c>
    </row>
    <row r="61" customFormat="false" ht="39.75" hidden="false" customHeight="true" outlineLevel="0" collapsed="false">
      <c r="A61" s="31"/>
      <c r="B61" s="31"/>
      <c r="C61" s="31"/>
      <c r="D61" s="31"/>
      <c r="E61" s="32"/>
      <c r="F61" s="31"/>
      <c r="G61" s="31"/>
      <c r="H61" s="31"/>
      <c r="I61" s="31"/>
      <c r="J61" s="31"/>
      <c r="K61" s="31"/>
      <c r="L61" s="31"/>
      <c r="M61" s="31"/>
      <c r="N61" s="25"/>
      <c r="O61" s="30" t="str">
        <f aca="false">IF($E61="","",IFERROR(INT($E61),IFERROR(VALUE(LEFT($E61,FIND(".",$E61)-1)),"?")))</f>
        <v/>
      </c>
    </row>
    <row r="62" customFormat="false" ht="39.75" hidden="false" customHeight="true" outlineLevel="0" collapsed="false">
      <c r="A62" s="27"/>
      <c r="B62" s="27"/>
      <c r="C62" s="27"/>
      <c r="D62" s="27"/>
      <c r="E62" s="28"/>
      <c r="F62" s="27"/>
      <c r="G62" s="27"/>
      <c r="H62" s="27"/>
      <c r="I62" s="27"/>
      <c r="J62" s="27"/>
      <c r="K62" s="27"/>
      <c r="L62" s="27"/>
      <c r="M62" s="27"/>
      <c r="N62" s="29"/>
      <c r="O62" s="30" t="str">
        <f aca="false">IF($E62="","",IFERROR(INT($E62),IFERROR(VALUE(LEFT($E62,FIND(".",$E62)-1)),"?")))</f>
        <v/>
      </c>
    </row>
    <row r="63" customFormat="false" ht="39.75" hidden="false" customHeight="true" outlineLevel="0" collapsed="false">
      <c r="A63" s="31"/>
      <c r="B63" s="31"/>
      <c r="C63" s="31"/>
      <c r="D63" s="31"/>
      <c r="E63" s="32"/>
      <c r="F63" s="31"/>
      <c r="G63" s="31"/>
      <c r="H63" s="31"/>
      <c r="I63" s="31"/>
      <c r="J63" s="31"/>
      <c r="K63" s="31"/>
      <c r="L63" s="31"/>
      <c r="M63" s="31"/>
      <c r="N63" s="25"/>
      <c r="O63" s="30" t="str">
        <f aca="false">IF($E63="","",IFERROR(INT($E63),IFERROR(VALUE(LEFT($E63,FIND(".",$E63)-1)),"?")))</f>
        <v/>
      </c>
    </row>
    <row r="64" customFormat="false" ht="39.75" hidden="false" customHeight="true" outlineLevel="0" collapsed="false">
      <c r="A64" s="27"/>
      <c r="B64" s="27"/>
      <c r="C64" s="27"/>
      <c r="D64" s="27"/>
      <c r="E64" s="28"/>
      <c r="F64" s="27"/>
      <c r="G64" s="27"/>
      <c r="H64" s="27"/>
      <c r="I64" s="27"/>
      <c r="J64" s="27"/>
      <c r="K64" s="27"/>
      <c r="L64" s="27"/>
      <c r="M64" s="27"/>
      <c r="N64" s="29"/>
      <c r="O64" s="30" t="str">
        <f aca="false">IF($E64="","",IFERROR(INT($E64),IFERROR(VALUE(LEFT($E64,FIND(".",$E64)-1)),"?")))</f>
        <v/>
      </c>
    </row>
    <row r="65" customFormat="false" ht="39.75" hidden="false" customHeight="true" outlineLevel="0" collapsed="false">
      <c r="A65" s="31"/>
      <c r="B65" s="31"/>
      <c r="C65" s="31"/>
      <c r="D65" s="31"/>
      <c r="E65" s="32"/>
      <c r="F65" s="31"/>
      <c r="G65" s="31"/>
      <c r="H65" s="31"/>
      <c r="I65" s="31"/>
      <c r="J65" s="31"/>
      <c r="K65" s="31"/>
      <c r="L65" s="31"/>
      <c r="M65" s="31"/>
      <c r="N65" s="25"/>
      <c r="O65" s="30" t="str">
        <f aca="false">IF($E65="","",IFERROR(INT($E65),IFERROR(VALUE(LEFT($E65,FIND(".",$E65)-1)),"?")))</f>
        <v/>
      </c>
    </row>
    <row r="66" customFormat="false" ht="39.75" hidden="false" customHeight="true" outlineLevel="0" collapsed="false">
      <c r="A66" s="27"/>
      <c r="B66" s="27"/>
      <c r="C66" s="27"/>
      <c r="D66" s="27"/>
      <c r="E66" s="28"/>
      <c r="F66" s="27"/>
      <c r="G66" s="27"/>
      <c r="H66" s="27"/>
      <c r="I66" s="27"/>
      <c r="J66" s="27"/>
      <c r="K66" s="27"/>
      <c r="L66" s="27"/>
      <c r="M66" s="27"/>
      <c r="N66" s="29"/>
      <c r="O66" s="30" t="str">
        <f aca="false">IF($E66="","",IFERROR(INT($E66),IFERROR(VALUE(LEFT($E66,FIND(".",$E66)-1)),"?")))</f>
        <v/>
      </c>
    </row>
    <row r="67" customFormat="false" ht="39.75" hidden="false" customHeight="true" outlineLevel="0" collapsed="false">
      <c r="A67" s="31"/>
      <c r="B67" s="31"/>
      <c r="C67" s="31"/>
      <c r="D67" s="31"/>
      <c r="E67" s="32"/>
      <c r="F67" s="31"/>
      <c r="G67" s="31"/>
      <c r="H67" s="31"/>
      <c r="I67" s="31"/>
      <c r="J67" s="31"/>
      <c r="K67" s="31"/>
      <c r="L67" s="31"/>
      <c r="M67" s="31"/>
      <c r="N67" s="25"/>
      <c r="O67" s="30" t="str">
        <f aca="false">IF($E67="","",IFERROR(INT($E67),IFERROR(VALUE(LEFT($E67,FIND(".",$E67)-1)),"?")))</f>
        <v/>
      </c>
    </row>
    <row r="68" customFormat="false" ht="39.75" hidden="false" customHeight="true" outlineLevel="0" collapsed="false">
      <c r="A68" s="27"/>
      <c r="B68" s="27"/>
      <c r="C68" s="27"/>
      <c r="D68" s="27"/>
      <c r="E68" s="28"/>
      <c r="F68" s="27"/>
      <c r="G68" s="27"/>
      <c r="H68" s="27"/>
      <c r="I68" s="27"/>
      <c r="J68" s="27"/>
      <c r="K68" s="27"/>
      <c r="L68" s="27"/>
      <c r="M68" s="27"/>
      <c r="N68" s="29"/>
      <c r="O68" s="30" t="str">
        <f aca="false">IF($E68="","",IFERROR(INT($E68),IFERROR(VALUE(LEFT($E68,FIND(".",$E68)-1)),"?")))</f>
        <v/>
      </c>
    </row>
    <row r="69" customFormat="false" ht="39.75" hidden="false" customHeight="true" outlineLevel="0" collapsed="false">
      <c r="A69" s="31"/>
      <c r="B69" s="31"/>
      <c r="C69" s="31"/>
      <c r="D69" s="31"/>
      <c r="E69" s="32"/>
      <c r="F69" s="31"/>
      <c r="G69" s="31"/>
      <c r="H69" s="31"/>
      <c r="I69" s="31"/>
      <c r="J69" s="31"/>
      <c r="K69" s="31"/>
      <c r="L69" s="31"/>
      <c r="M69" s="31"/>
      <c r="N69" s="25"/>
      <c r="O69" s="30" t="str">
        <f aca="false">IF($E69="","",IFERROR(INT($E69),IFERROR(VALUE(LEFT($E69,FIND(".",$E69)-1)),"?")))</f>
        <v/>
      </c>
    </row>
    <row r="70" customFormat="false" ht="39.75" hidden="false" customHeight="true" outlineLevel="0" collapsed="false">
      <c r="A70" s="27"/>
      <c r="B70" s="27"/>
      <c r="C70" s="27"/>
      <c r="D70" s="27"/>
      <c r="E70" s="28"/>
      <c r="F70" s="27"/>
      <c r="G70" s="27"/>
      <c r="H70" s="27"/>
      <c r="I70" s="27"/>
      <c r="J70" s="27"/>
      <c r="K70" s="27"/>
      <c r="L70" s="27"/>
      <c r="M70" s="27"/>
      <c r="N70" s="29"/>
      <c r="O70" s="30" t="str">
        <f aca="false">IF($E70="","",IFERROR(INT($E70),IFERROR(VALUE(LEFT($E70,FIND(".",$E70)-1)),"?")))</f>
        <v/>
      </c>
    </row>
    <row r="71" customFormat="false" ht="39.75" hidden="false" customHeight="true" outlineLevel="0" collapsed="false">
      <c r="A71" s="31"/>
      <c r="B71" s="31"/>
      <c r="C71" s="31"/>
      <c r="D71" s="31"/>
      <c r="E71" s="32"/>
      <c r="F71" s="31"/>
      <c r="G71" s="31"/>
      <c r="H71" s="31"/>
      <c r="I71" s="31"/>
      <c r="J71" s="31"/>
      <c r="K71" s="31"/>
      <c r="L71" s="31"/>
      <c r="M71" s="31"/>
      <c r="N71" s="25"/>
      <c r="O71" s="30" t="str">
        <f aca="false">IF($E71="","",IFERROR(INT($E71),IFERROR(VALUE(LEFT($E71,FIND(".",$E71)-1)),"?")))</f>
        <v/>
      </c>
    </row>
    <row r="72" customFormat="false" ht="39.75" hidden="false" customHeight="true" outlineLevel="0" collapsed="false">
      <c r="A72" s="27"/>
      <c r="B72" s="27"/>
      <c r="C72" s="27"/>
      <c r="D72" s="27"/>
      <c r="E72" s="28"/>
      <c r="F72" s="27"/>
      <c r="G72" s="27"/>
      <c r="H72" s="27"/>
      <c r="I72" s="27"/>
      <c r="J72" s="27"/>
      <c r="K72" s="27"/>
      <c r="L72" s="27"/>
      <c r="M72" s="27"/>
      <c r="N72" s="29"/>
      <c r="O72" s="30" t="str">
        <f aca="false">IF($E72="","",IFERROR(INT($E72),IFERROR(VALUE(LEFT($E72,FIND(".",$E72)-1)),"?")))</f>
        <v/>
      </c>
    </row>
    <row r="73" customFormat="false" ht="39.75" hidden="false" customHeight="true" outlineLevel="0" collapsed="false">
      <c r="A73" s="31"/>
      <c r="B73" s="31"/>
      <c r="C73" s="31"/>
      <c r="D73" s="31"/>
      <c r="E73" s="32"/>
      <c r="F73" s="31"/>
      <c r="G73" s="31"/>
      <c r="H73" s="31"/>
      <c r="I73" s="31"/>
      <c r="J73" s="31"/>
      <c r="K73" s="31"/>
      <c r="L73" s="31"/>
      <c r="M73" s="31"/>
      <c r="N73" s="25"/>
      <c r="O73" s="30" t="str">
        <f aca="false">IF($E73="","",IFERROR(INT($E73),IFERROR(VALUE(LEFT($E73,FIND(".",$E73)-1)),"?")))</f>
        <v/>
      </c>
    </row>
    <row r="74" customFormat="false" ht="39.75" hidden="false" customHeight="true" outlineLevel="0" collapsed="false">
      <c r="A74" s="27"/>
      <c r="B74" s="27"/>
      <c r="C74" s="27"/>
      <c r="D74" s="27"/>
      <c r="E74" s="28"/>
      <c r="F74" s="27"/>
      <c r="G74" s="27"/>
      <c r="H74" s="27"/>
      <c r="I74" s="27"/>
      <c r="J74" s="27"/>
      <c r="K74" s="27"/>
      <c r="L74" s="27"/>
      <c r="M74" s="27"/>
      <c r="N74" s="29"/>
      <c r="O74" s="30" t="str">
        <f aca="false">IF($E74="","",IFERROR(INT($E74),IFERROR(VALUE(LEFT($E74,FIND(".",$E74)-1)),"?")))</f>
        <v/>
      </c>
    </row>
    <row r="75" customFormat="false" ht="39.75" hidden="false" customHeight="true" outlineLevel="0" collapsed="false">
      <c r="A75" s="31"/>
      <c r="B75" s="31"/>
      <c r="C75" s="31"/>
      <c r="D75" s="31"/>
      <c r="E75" s="32"/>
      <c r="F75" s="31"/>
      <c r="G75" s="31"/>
      <c r="H75" s="31"/>
      <c r="I75" s="31"/>
      <c r="J75" s="31"/>
      <c r="K75" s="31"/>
      <c r="L75" s="31"/>
      <c r="M75" s="31"/>
      <c r="N75" s="25"/>
      <c r="O75" s="30" t="str">
        <f aca="false">IF($E75="","",IFERROR(INT($E75),IFERROR(VALUE(LEFT($E75,FIND(".",$E75)-1)),"?")))</f>
        <v/>
      </c>
    </row>
    <row r="76" customFormat="false" ht="39.75" hidden="false" customHeight="true" outlineLevel="0" collapsed="false">
      <c r="A76" s="27"/>
      <c r="B76" s="27"/>
      <c r="C76" s="27"/>
      <c r="D76" s="27"/>
      <c r="E76" s="28"/>
      <c r="F76" s="27"/>
      <c r="G76" s="27"/>
      <c r="H76" s="27"/>
      <c r="I76" s="27"/>
      <c r="J76" s="27"/>
      <c r="K76" s="27"/>
      <c r="L76" s="27"/>
      <c r="M76" s="27"/>
      <c r="N76" s="29"/>
      <c r="O76" s="30" t="str">
        <f aca="false">IF($E76="","",IFERROR(INT($E76),IFERROR(VALUE(LEFT($E76,FIND(".",$E76)-1)),"?")))</f>
        <v/>
      </c>
    </row>
    <row r="77" customFormat="false" ht="39.75" hidden="false" customHeight="true" outlineLevel="0" collapsed="false">
      <c r="A77" s="31"/>
      <c r="B77" s="31"/>
      <c r="C77" s="31"/>
      <c r="D77" s="31"/>
      <c r="E77" s="32"/>
      <c r="F77" s="31"/>
      <c r="G77" s="31"/>
      <c r="H77" s="31"/>
      <c r="I77" s="31"/>
      <c r="J77" s="31"/>
      <c r="K77" s="31"/>
      <c r="L77" s="31"/>
      <c r="M77" s="31"/>
      <c r="N77" s="25"/>
      <c r="O77" s="30" t="str">
        <f aca="false">IF($E77="","",IFERROR(INT($E77),IFERROR(VALUE(LEFT($E77,FIND(".",$E77)-1)),"?")))</f>
        <v/>
      </c>
    </row>
    <row r="78" customFormat="false" ht="39.75" hidden="false" customHeight="true" outlineLevel="0" collapsed="false">
      <c r="A78" s="27"/>
      <c r="B78" s="27"/>
      <c r="C78" s="27"/>
      <c r="D78" s="27"/>
      <c r="E78" s="28"/>
      <c r="F78" s="27"/>
      <c r="G78" s="27"/>
      <c r="H78" s="27"/>
      <c r="I78" s="27"/>
      <c r="J78" s="27"/>
      <c r="K78" s="27"/>
      <c r="L78" s="27"/>
      <c r="M78" s="27"/>
      <c r="N78" s="29"/>
      <c r="O78" s="30" t="str">
        <f aca="false">IF($E78="","",IFERROR(INT($E78),IFERROR(VALUE(LEFT($E78,FIND(".",$E78)-1)),"?")))</f>
        <v/>
      </c>
    </row>
    <row r="79" customFormat="false" ht="39.75" hidden="false" customHeight="true" outlineLevel="0" collapsed="false">
      <c r="A79" s="31"/>
      <c r="B79" s="31"/>
      <c r="C79" s="31"/>
      <c r="D79" s="31"/>
      <c r="E79" s="32"/>
      <c r="F79" s="31"/>
      <c r="G79" s="31"/>
      <c r="H79" s="31"/>
      <c r="I79" s="31"/>
      <c r="J79" s="31"/>
      <c r="K79" s="31"/>
      <c r="L79" s="31"/>
      <c r="M79" s="31"/>
      <c r="N79" s="25"/>
      <c r="O79" s="30" t="str">
        <f aca="false">IF($E79="","",IFERROR(INT($E79),IFERROR(VALUE(LEFT($E79,FIND(".",$E79)-1)),"?")))</f>
        <v/>
      </c>
    </row>
    <row r="80" customFormat="false" ht="39.75" hidden="false" customHeight="true" outlineLevel="0" collapsed="false">
      <c r="A80" s="27"/>
      <c r="B80" s="27"/>
      <c r="C80" s="27"/>
      <c r="D80" s="27"/>
      <c r="E80" s="28"/>
      <c r="F80" s="27"/>
      <c r="G80" s="27"/>
      <c r="H80" s="27"/>
      <c r="I80" s="27"/>
      <c r="J80" s="27"/>
      <c r="K80" s="27"/>
      <c r="L80" s="27"/>
      <c r="M80" s="27"/>
      <c r="N80" s="29"/>
      <c r="O80" s="30" t="str">
        <f aca="false">IF($E80="","",IFERROR(INT($E80),IFERROR(VALUE(LEFT($E80,FIND(".",$E80)-1)),"?")))</f>
        <v/>
      </c>
    </row>
    <row r="81" customFormat="false" ht="39.75" hidden="false" customHeight="true" outlineLevel="0" collapsed="false">
      <c r="A81" s="31"/>
      <c r="B81" s="31"/>
      <c r="C81" s="31"/>
      <c r="D81" s="31"/>
      <c r="E81" s="32"/>
      <c r="F81" s="31"/>
      <c r="G81" s="31"/>
      <c r="H81" s="31"/>
      <c r="I81" s="31"/>
      <c r="J81" s="31"/>
      <c r="K81" s="31"/>
      <c r="L81" s="31"/>
      <c r="M81" s="31"/>
      <c r="N81" s="25"/>
      <c r="O81" s="30" t="str">
        <f aca="false">IF($E81="","",IFERROR(INT($E81),IFERROR(VALUE(LEFT($E81,FIND(".",$E81)-1)),"?")))</f>
        <v/>
      </c>
    </row>
    <row r="82" customFormat="false" ht="39.75" hidden="false" customHeight="true" outlineLevel="0" collapsed="false">
      <c r="A82" s="27"/>
      <c r="B82" s="27"/>
      <c r="C82" s="27"/>
      <c r="D82" s="27"/>
      <c r="E82" s="28"/>
      <c r="F82" s="27"/>
      <c r="G82" s="27"/>
      <c r="H82" s="27"/>
      <c r="I82" s="27"/>
      <c r="J82" s="27"/>
      <c r="K82" s="27"/>
      <c r="L82" s="27"/>
      <c r="M82" s="27"/>
      <c r="N82" s="29"/>
      <c r="O82" s="30" t="str">
        <f aca="false">IF($E82="","",IFERROR(INT($E82),IFERROR(VALUE(LEFT($E82,FIND(".",$E82)-1)),"?")))</f>
        <v/>
      </c>
    </row>
    <row r="83" customFormat="false" ht="39.75" hidden="false" customHeight="true" outlineLevel="0" collapsed="false">
      <c r="A83" s="31"/>
      <c r="B83" s="31"/>
      <c r="C83" s="31"/>
      <c r="D83" s="31"/>
      <c r="E83" s="32"/>
      <c r="F83" s="31"/>
      <c r="G83" s="31"/>
      <c r="H83" s="31"/>
      <c r="I83" s="31"/>
      <c r="J83" s="31"/>
      <c r="K83" s="31"/>
      <c r="L83" s="31"/>
      <c r="M83" s="31"/>
      <c r="N83" s="25"/>
      <c r="O83" s="30" t="str">
        <f aca="false">IF($E83="","",IFERROR(INT($E83),IFERROR(VALUE(LEFT($E83,FIND(".",$E83)-1)),"?")))</f>
        <v/>
      </c>
    </row>
    <row r="84" customFormat="false" ht="39.75" hidden="false" customHeight="true" outlineLevel="0" collapsed="false">
      <c r="A84" s="27"/>
      <c r="B84" s="27"/>
      <c r="C84" s="27"/>
      <c r="D84" s="27"/>
      <c r="E84" s="28"/>
      <c r="F84" s="27"/>
      <c r="G84" s="27"/>
      <c r="H84" s="27"/>
      <c r="I84" s="27"/>
      <c r="J84" s="27"/>
      <c r="K84" s="27"/>
      <c r="L84" s="27"/>
      <c r="M84" s="27"/>
      <c r="N84" s="29"/>
      <c r="O84" s="30" t="str">
        <f aca="false">IF($E84="","",IFERROR(INT($E84),IFERROR(VALUE(LEFT($E84,FIND(".",$E84)-1)),"?")))</f>
        <v/>
      </c>
    </row>
    <row r="85" customFormat="false" ht="39.75" hidden="false" customHeight="true" outlineLevel="0" collapsed="false">
      <c r="A85" s="31"/>
      <c r="B85" s="31"/>
      <c r="C85" s="31"/>
      <c r="D85" s="31"/>
      <c r="E85" s="32"/>
      <c r="F85" s="31"/>
      <c r="G85" s="31"/>
      <c r="H85" s="31"/>
      <c r="I85" s="31"/>
      <c r="J85" s="31"/>
      <c r="K85" s="31"/>
      <c r="L85" s="31"/>
      <c r="M85" s="31"/>
      <c r="N85" s="25"/>
      <c r="O85" s="30" t="str">
        <f aca="false">IF($E85="","",IFERROR(INT($E85),IFERROR(VALUE(LEFT($E85,FIND(".",$E85)-1)),"?")))</f>
        <v/>
      </c>
    </row>
    <row r="86" customFormat="false" ht="39.75" hidden="false" customHeight="true" outlineLevel="0" collapsed="false">
      <c r="A86" s="27"/>
      <c r="B86" s="27"/>
      <c r="C86" s="27"/>
      <c r="D86" s="27"/>
      <c r="E86" s="28"/>
      <c r="F86" s="27"/>
      <c r="G86" s="27"/>
      <c r="H86" s="27"/>
      <c r="I86" s="27"/>
      <c r="J86" s="27"/>
      <c r="K86" s="27"/>
      <c r="L86" s="27"/>
      <c r="M86" s="27"/>
      <c r="N86" s="29"/>
      <c r="O86" s="30" t="str">
        <f aca="false">IF($E86="","",IFERROR(INT($E86),IFERROR(VALUE(LEFT($E86,FIND(".",$E86)-1)),"?")))</f>
        <v/>
      </c>
    </row>
    <row r="87" customFormat="false" ht="39.75" hidden="false" customHeight="true" outlineLevel="0" collapsed="false">
      <c r="A87" s="31"/>
      <c r="B87" s="31"/>
      <c r="C87" s="31"/>
      <c r="D87" s="31"/>
      <c r="E87" s="32"/>
      <c r="F87" s="31"/>
      <c r="G87" s="31"/>
      <c r="H87" s="31"/>
      <c r="I87" s="31"/>
      <c r="J87" s="31"/>
      <c r="K87" s="31"/>
      <c r="L87" s="31"/>
      <c r="M87" s="31"/>
      <c r="N87" s="25"/>
      <c r="O87" s="30" t="str">
        <f aca="false">IF($E87="","",IFERROR(INT($E87),IFERROR(VALUE(LEFT($E87,FIND(".",$E87)-1)),"?")))</f>
        <v/>
      </c>
    </row>
    <row r="88" customFormat="false" ht="39.75" hidden="false" customHeight="true" outlineLevel="0" collapsed="false">
      <c r="A88" s="27"/>
      <c r="B88" s="27"/>
      <c r="C88" s="27"/>
      <c r="D88" s="27"/>
      <c r="E88" s="28"/>
      <c r="F88" s="27"/>
      <c r="G88" s="27"/>
      <c r="H88" s="27"/>
      <c r="I88" s="27"/>
      <c r="J88" s="27"/>
      <c r="K88" s="27"/>
      <c r="L88" s="27"/>
      <c r="M88" s="27"/>
      <c r="N88" s="29"/>
      <c r="O88" s="30" t="str">
        <f aca="false">IF($E88="","",IFERROR(INT($E88),IFERROR(VALUE(LEFT($E88,FIND(".",$E88)-1)),"?")))</f>
        <v/>
      </c>
    </row>
    <row r="89" customFormat="false" ht="39.75" hidden="false" customHeight="true" outlineLevel="0" collapsed="false">
      <c r="A89" s="31"/>
      <c r="B89" s="31"/>
      <c r="C89" s="31"/>
      <c r="D89" s="31"/>
      <c r="E89" s="32"/>
      <c r="F89" s="31"/>
      <c r="G89" s="31"/>
      <c r="H89" s="31"/>
      <c r="I89" s="31"/>
      <c r="J89" s="31"/>
      <c r="K89" s="31"/>
      <c r="L89" s="31"/>
      <c r="M89" s="31"/>
      <c r="N89" s="25"/>
      <c r="O89" s="30" t="str">
        <f aca="false">IF($E89="","",IFERROR(INT($E89),IFERROR(VALUE(LEFT($E89,FIND(".",$E89)-1)),"?")))</f>
        <v/>
      </c>
    </row>
    <row r="90" customFormat="false" ht="39.75" hidden="false" customHeight="true" outlineLevel="0" collapsed="false">
      <c r="A90" s="27"/>
      <c r="B90" s="27"/>
      <c r="C90" s="27"/>
      <c r="D90" s="27"/>
      <c r="E90" s="28"/>
      <c r="F90" s="27"/>
      <c r="G90" s="27"/>
      <c r="H90" s="27"/>
      <c r="I90" s="27"/>
      <c r="J90" s="27"/>
      <c r="K90" s="27"/>
      <c r="L90" s="27"/>
      <c r="M90" s="27"/>
      <c r="N90" s="29"/>
      <c r="O90" s="30" t="str">
        <f aca="false">IF($E90="","",IFERROR(INT($E90),IFERROR(VALUE(LEFT($E90,FIND(".",$E90)-1)),"?")))</f>
        <v/>
      </c>
    </row>
    <row r="91" customFormat="false" ht="39.75" hidden="false" customHeight="true" outlineLevel="0" collapsed="false">
      <c r="A91" s="31"/>
      <c r="B91" s="31"/>
      <c r="C91" s="31"/>
      <c r="D91" s="31"/>
      <c r="E91" s="32"/>
      <c r="F91" s="31"/>
      <c r="G91" s="31"/>
      <c r="H91" s="31"/>
      <c r="I91" s="31"/>
      <c r="J91" s="31"/>
      <c r="K91" s="31"/>
      <c r="L91" s="31"/>
      <c r="M91" s="31"/>
      <c r="N91" s="25"/>
      <c r="O91" s="30" t="str">
        <f aca="false">IF($E91="","",IFERROR(INT($E91),IFERROR(VALUE(LEFT($E91,FIND(".",$E91)-1)),"?")))</f>
        <v/>
      </c>
    </row>
    <row r="92" customFormat="false" ht="39.75" hidden="false" customHeight="true" outlineLevel="0" collapsed="false">
      <c r="A92" s="27"/>
      <c r="B92" s="27"/>
      <c r="C92" s="27"/>
      <c r="D92" s="27"/>
      <c r="E92" s="28"/>
      <c r="F92" s="27"/>
      <c r="G92" s="27"/>
      <c r="H92" s="27"/>
      <c r="I92" s="27"/>
      <c r="J92" s="27"/>
      <c r="K92" s="27"/>
      <c r="L92" s="27"/>
      <c r="M92" s="27"/>
      <c r="N92" s="29"/>
      <c r="O92" s="30" t="str">
        <f aca="false">IF($E92="","",IFERROR(INT($E92),IFERROR(VALUE(LEFT($E92,FIND(".",$E92)-1)),"?")))</f>
        <v/>
      </c>
    </row>
    <row r="93" customFormat="false" ht="39.75" hidden="false" customHeight="true" outlineLevel="0" collapsed="false">
      <c r="A93" s="31"/>
      <c r="B93" s="31"/>
      <c r="C93" s="31"/>
      <c r="D93" s="31"/>
      <c r="E93" s="32"/>
      <c r="F93" s="31"/>
      <c r="G93" s="31"/>
      <c r="H93" s="31"/>
      <c r="I93" s="31"/>
      <c r="J93" s="31"/>
      <c r="K93" s="31"/>
      <c r="L93" s="31"/>
      <c r="M93" s="31"/>
      <c r="N93" s="25"/>
      <c r="O93" s="30" t="str">
        <f aca="false">IF($E93="","",IFERROR(INT($E93),IFERROR(VALUE(LEFT($E93,FIND(".",$E93)-1)),"?")))</f>
        <v/>
      </c>
    </row>
    <row r="94" customFormat="false" ht="39.75" hidden="false" customHeight="true" outlineLevel="0" collapsed="false">
      <c r="A94" s="27"/>
      <c r="B94" s="27"/>
      <c r="C94" s="27"/>
      <c r="D94" s="27"/>
      <c r="E94" s="28"/>
      <c r="F94" s="27"/>
      <c r="G94" s="27"/>
      <c r="H94" s="27"/>
      <c r="I94" s="27"/>
      <c r="J94" s="27"/>
      <c r="K94" s="27"/>
      <c r="L94" s="27"/>
      <c r="M94" s="27"/>
      <c r="N94" s="29"/>
      <c r="O94" s="30" t="str">
        <f aca="false">IF($E94="","",IFERROR(INT($E94),IFERROR(VALUE(LEFT($E94,FIND(".",$E94)-1)),"?")))</f>
        <v/>
      </c>
    </row>
    <row r="95" customFormat="false" ht="39.75" hidden="false" customHeight="true" outlineLevel="0" collapsed="false">
      <c r="A95" s="31"/>
      <c r="B95" s="31"/>
      <c r="C95" s="31"/>
      <c r="D95" s="31"/>
      <c r="E95" s="32"/>
      <c r="F95" s="31"/>
      <c r="G95" s="31"/>
      <c r="H95" s="31"/>
      <c r="I95" s="31"/>
      <c r="J95" s="31"/>
      <c r="K95" s="31"/>
      <c r="L95" s="31"/>
      <c r="M95" s="31"/>
      <c r="N95" s="25"/>
      <c r="O95" s="30" t="str">
        <f aca="false">IF($E95="","",IFERROR(INT($E95),IFERROR(VALUE(LEFT($E95,FIND(".",$E95)-1)),"?")))</f>
        <v/>
      </c>
    </row>
    <row r="96" customFormat="false" ht="39.75" hidden="false" customHeight="true" outlineLevel="0" collapsed="false">
      <c r="A96" s="27"/>
      <c r="B96" s="27"/>
      <c r="C96" s="27"/>
      <c r="D96" s="27"/>
      <c r="E96" s="28"/>
      <c r="F96" s="27"/>
      <c r="G96" s="27"/>
      <c r="H96" s="27"/>
      <c r="I96" s="27"/>
      <c r="J96" s="27"/>
      <c r="K96" s="27"/>
      <c r="L96" s="27"/>
      <c r="M96" s="27"/>
      <c r="N96" s="29"/>
      <c r="O96" s="30" t="str">
        <f aca="false">IF($E96="","",IFERROR(INT($E96),IFERROR(VALUE(LEFT($E96,FIND(".",$E96)-1)),"?")))</f>
        <v/>
      </c>
    </row>
    <row r="97" customFormat="false" ht="39.75" hidden="false" customHeight="true" outlineLevel="0" collapsed="false">
      <c r="A97" s="31"/>
      <c r="B97" s="31"/>
      <c r="C97" s="31"/>
      <c r="D97" s="31"/>
      <c r="E97" s="32"/>
      <c r="F97" s="31"/>
      <c r="G97" s="31"/>
      <c r="H97" s="31"/>
      <c r="I97" s="31"/>
      <c r="J97" s="31"/>
      <c r="K97" s="31"/>
      <c r="L97" s="31"/>
      <c r="M97" s="31"/>
      <c r="N97" s="25"/>
      <c r="O97" s="30" t="str">
        <f aca="false">IF($E97="","",IFERROR(INT($E97),IFERROR(VALUE(LEFT($E97,FIND(".",$E97)-1)),"?")))</f>
        <v/>
      </c>
    </row>
    <row r="98" customFormat="false" ht="39.75" hidden="false" customHeight="true" outlineLevel="0" collapsed="false">
      <c r="A98" s="27"/>
      <c r="B98" s="27"/>
      <c r="C98" s="27"/>
      <c r="D98" s="27"/>
      <c r="E98" s="28"/>
      <c r="F98" s="27"/>
      <c r="G98" s="27"/>
      <c r="H98" s="27"/>
      <c r="I98" s="27"/>
      <c r="J98" s="27"/>
      <c r="K98" s="27"/>
      <c r="L98" s="27"/>
      <c r="M98" s="27"/>
      <c r="N98" s="29"/>
      <c r="O98" s="30" t="str">
        <f aca="false">IF($E98="","",IFERROR(INT($E98),IFERROR(VALUE(LEFT($E98,FIND(".",$E98)-1)),"?")))</f>
        <v/>
      </c>
    </row>
    <row r="99" customFormat="false" ht="39.75" hidden="false" customHeight="true" outlineLevel="0" collapsed="false">
      <c r="A99" s="31"/>
      <c r="B99" s="31"/>
      <c r="C99" s="31"/>
      <c r="D99" s="31"/>
      <c r="E99" s="32"/>
      <c r="F99" s="31"/>
      <c r="G99" s="31"/>
      <c r="H99" s="31"/>
      <c r="I99" s="31"/>
      <c r="J99" s="31"/>
      <c r="K99" s="31"/>
      <c r="L99" s="31"/>
      <c r="M99" s="31"/>
      <c r="N99" s="25"/>
      <c r="O99" s="30" t="str">
        <f aca="false">IF($E99="","",IFERROR(INT($E99),IFERROR(VALUE(LEFT($E99,FIND(".",$E99)-1)),"?")))</f>
        <v/>
      </c>
    </row>
    <row r="100" customFormat="false" ht="39.75" hidden="false" customHeight="true" outlineLevel="0" collapsed="false">
      <c r="A100" s="27"/>
      <c r="B100" s="27"/>
      <c r="C100" s="27"/>
      <c r="D100" s="27"/>
      <c r="E100" s="28"/>
      <c r="F100" s="27"/>
      <c r="G100" s="27"/>
      <c r="H100" s="27"/>
      <c r="I100" s="27"/>
      <c r="J100" s="27"/>
      <c r="K100" s="27"/>
      <c r="L100" s="27"/>
      <c r="M100" s="27"/>
      <c r="N100" s="29"/>
      <c r="O100" s="30" t="str">
        <f aca="false">IF($E100="","",IFERROR(INT($E100),IFERROR(VALUE(LEFT($E100,FIND(".",$E100)-1)),"?")))</f>
        <v/>
      </c>
    </row>
    <row r="101" customFormat="false" ht="39.75" hidden="false" customHeight="true" outlineLevel="0" collapsed="false">
      <c r="A101" s="31"/>
      <c r="B101" s="31"/>
      <c r="C101" s="31"/>
      <c r="D101" s="31"/>
      <c r="E101" s="32"/>
      <c r="F101" s="31"/>
      <c r="G101" s="31"/>
      <c r="H101" s="31"/>
      <c r="I101" s="31"/>
      <c r="J101" s="31"/>
      <c r="K101" s="31"/>
      <c r="L101" s="31"/>
      <c r="M101" s="31"/>
      <c r="N101" s="25"/>
      <c r="O101" s="30" t="str">
        <f aca="false">IF($E101="","",IFERROR(INT($E101),IFERROR(VALUE(LEFT($E101,FIND(".",$E101)-1)),"?")))</f>
        <v/>
      </c>
    </row>
    <row r="102" customFormat="false" ht="39.75" hidden="false" customHeight="true" outlineLevel="0" collapsed="false">
      <c r="A102" s="27"/>
      <c r="B102" s="27"/>
      <c r="C102" s="27"/>
      <c r="D102" s="27"/>
      <c r="E102" s="28"/>
      <c r="F102" s="27"/>
      <c r="G102" s="27"/>
      <c r="H102" s="27"/>
      <c r="I102" s="27"/>
      <c r="J102" s="27"/>
      <c r="K102" s="27"/>
      <c r="L102" s="27"/>
      <c r="M102" s="27"/>
      <c r="N102" s="29"/>
      <c r="O102" s="30" t="str">
        <f aca="false">IF($E102="","",IFERROR(INT($E102),IFERROR(VALUE(LEFT($E102,FIND(".",$E102)-1)),"?")))</f>
        <v/>
      </c>
    </row>
    <row r="103" customFormat="false" ht="39.75" hidden="false" customHeight="true" outlineLevel="0" collapsed="false">
      <c r="A103" s="31"/>
      <c r="B103" s="31"/>
      <c r="C103" s="31"/>
      <c r="D103" s="31"/>
      <c r="E103" s="32"/>
      <c r="F103" s="31"/>
      <c r="G103" s="31"/>
      <c r="H103" s="31"/>
      <c r="I103" s="31"/>
      <c r="J103" s="31"/>
      <c r="K103" s="31"/>
      <c r="L103" s="31"/>
      <c r="M103" s="31"/>
      <c r="N103" s="25"/>
      <c r="O103" s="30" t="str">
        <f aca="false">IF($E103="","",IFERROR(INT($E103),IFERROR(VALUE(LEFT($E103,FIND(".",$E103)-1)),"?")))</f>
        <v/>
      </c>
    </row>
    <row r="104" customFormat="false" ht="39.75" hidden="false" customHeight="true" outlineLevel="0" collapsed="false">
      <c r="A104" s="27"/>
      <c r="B104" s="27"/>
      <c r="C104" s="27"/>
      <c r="D104" s="27"/>
      <c r="E104" s="28"/>
      <c r="F104" s="27"/>
      <c r="G104" s="27"/>
      <c r="H104" s="27"/>
      <c r="I104" s="27"/>
      <c r="J104" s="27"/>
      <c r="K104" s="27"/>
      <c r="L104" s="27"/>
      <c r="M104" s="27"/>
      <c r="N104" s="29"/>
      <c r="O104" s="30" t="str">
        <f aca="false">IF($E104="","",IFERROR(INT($E104),IFERROR(VALUE(LEFT($E104,FIND(".",$E104)-1)),"?")))</f>
        <v/>
      </c>
    </row>
    <row r="105" customFormat="false" ht="39.75" hidden="false" customHeight="true" outlineLevel="0" collapsed="false">
      <c r="A105" s="31"/>
      <c r="B105" s="31"/>
      <c r="C105" s="31"/>
      <c r="D105" s="31"/>
      <c r="E105" s="32"/>
      <c r="F105" s="31"/>
      <c r="G105" s="31"/>
      <c r="H105" s="31"/>
      <c r="I105" s="31"/>
      <c r="J105" s="31"/>
      <c r="K105" s="31"/>
      <c r="L105" s="31"/>
      <c r="M105" s="31"/>
      <c r="N105" s="25"/>
      <c r="O105" s="30" t="str">
        <f aca="false">IF($E105="","",IFERROR(INT($E105),IFERROR(VALUE(LEFT($E105,FIND(".",$E105)-1)),"?")))</f>
        <v/>
      </c>
    </row>
    <row r="106" customFormat="false" ht="39.75" hidden="false" customHeight="true" outlineLevel="0" collapsed="false">
      <c r="A106" s="27"/>
      <c r="B106" s="27"/>
      <c r="C106" s="27"/>
      <c r="D106" s="27"/>
      <c r="E106" s="28"/>
      <c r="F106" s="27"/>
      <c r="G106" s="27"/>
      <c r="H106" s="27"/>
      <c r="I106" s="27"/>
      <c r="J106" s="27"/>
      <c r="K106" s="27"/>
      <c r="L106" s="27"/>
      <c r="M106" s="27"/>
      <c r="N106" s="29"/>
      <c r="O106" s="30" t="str">
        <f aca="false">IF($E106="","",IFERROR(INT($E106),IFERROR(VALUE(LEFT($E106,FIND(".",$E106)-1)),"?")))</f>
        <v/>
      </c>
    </row>
    <row r="107" customFormat="false" ht="39.75" hidden="false" customHeight="true" outlineLevel="0" collapsed="false">
      <c r="A107" s="31"/>
      <c r="B107" s="31"/>
      <c r="C107" s="31"/>
      <c r="D107" s="31"/>
      <c r="E107" s="32"/>
      <c r="F107" s="31"/>
      <c r="G107" s="31"/>
      <c r="H107" s="31"/>
      <c r="I107" s="31"/>
      <c r="J107" s="31"/>
      <c r="K107" s="31"/>
      <c r="L107" s="31"/>
      <c r="M107" s="31"/>
      <c r="N107" s="25"/>
      <c r="O107" s="30" t="str">
        <f aca="false">IF($E107="","",IFERROR(INT($E107),IFERROR(VALUE(LEFT($E107,FIND(".",$E107)-1)),"?")))</f>
        <v/>
      </c>
    </row>
    <row r="108" customFormat="false" ht="39.75" hidden="false" customHeight="true" outlineLevel="0" collapsed="false">
      <c r="A108" s="27"/>
      <c r="B108" s="27"/>
      <c r="C108" s="27"/>
      <c r="D108" s="27"/>
      <c r="E108" s="28"/>
      <c r="F108" s="27"/>
      <c r="G108" s="27"/>
      <c r="H108" s="27"/>
      <c r="I108" s="27"/>
      <c r="J108" s="27"/>
      <c r="K108" s="27"/>
      <c r="L108" s="27"/>
      <c r="M108" s="27"/>
      <c r="N108" s="29"/>
      <c r="O108" s="30" t="str">
        <f aca="false">IF($E108="","",IFERROR(INT($E108),IFERROR(VALUE(LEFT($E108,FIND(".",$E108)-1)),"?")))</f>
        <v/>
      </c>
    </row>
    <row r="109" customFormat="false" ht="39.75" hidden="false" customHeight="true" outlineLevel="0" collapsed="false">
      <c r="A109" s="31"/>
      <c r="B109" s="31"/>
      <c r="C109" s="31"/>
      <c r="D109" s="31"/>
      <c r="E109" s="32"/>
      <c r="F109" s="31"/>
      <c r="G109" s="31"/>
      <c r="H109" s="31"/>
      <c r="I109" s="31"/>
      <c r="J109" s="31"/>
      <c r="K109" s="31"/>
      <c r="L109" s="31"/>
      <c r="M109" s="31"/>
      <c r="N109" s="25"/>
      <c r="O109" s="30" t="str">
        <f aca="false">IF($E109="","",IFERROR(INT($E109),IFERROR(VALUE(LEFT($E109,FIND(".",$E109)-1)),"?")))</f>
        <v/>
      </c>
    </row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4:M109"/>
  <mergeCells count="3">
    <mergeCell ref="A1:O1"/>
    <mergeCell ref="A2:O2"/>
    <mergeCell ref="A6:O6"/>
  </mergeCells>
  <conditionalFormatting sqref="G10:G109">
    <cfRule type="cellIs" priority="2" operator="equal" aboveAverage="0" equalAverage="0" bottom="0" percent="0" rank="0" text="" dxfId="15">
      <formula>"NEW"</formula>
    </cfRule>
  </conditionalFormatting>
  <dataValidations count="4">
    <dataValidation allowBlank="true" errorStyle="stop" operator="between" showDropDown="false" showErrorMessage="false" showInputMessage="false" sqref="G9:G109" type="list">
      <formula1>"NEW,KNOWN"</formula1>
      <formula2>0</formula2>
    </dataValidation>
    <dataValidation allowBlank="true" errorStyle="stop" operator="between" showDropDown="false" showErrorMessage="false" showInputMessage="false" sqref="N9:N109" type="list">
      <formula1>"English,Thai,Vietnamese,Bahasa Indonesia,Chinese,Hindi,Kazakh,Russian,Lao,Mongolian,Other"</formula1>
      <formula2>0</formula2>
    </dataValidation>
    <dataValidation allowBlank="true" errorStyle="stop" operator="between" showDropDown="false" showErrorMessage="false" showInputMessage="false" sqref="L9:L109" type="decimal">
      <formula1>0</formula1>
      <formula2>1</formula2>
    </dataValidation>
    <dataValidation allowBlank="true" errorStyle="stop" operator="between" showDropDown="false" showErrorMessage="false" showInputMessage="false" sqref="J9:J109" type="custom">
      <formula1>lte(LEN(J9),300)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62"/>
    <col collapsed="false" customWidth="true" hidden="false" outlineLevel="0" max="4" min="4" style="0" width="14"/>
    <col collapsed="false" customWidth="true" hidden="false" outlineLevel="0" max="5" min="5" style="0" width="52"/>
  </cols>
  <sheetData>
    <row r="1" customFormat="false" ht="27" hidden="false" customHeight="true" outlineLevel="0" collapsed="false">
      <c r="A1" s="33" t="s">
        <v>56</v>
      </c>
      <c r="B1" s="33"/>
      <c r="C1" s="33"/>
      <c r="D1" s="33"/>
      <c r="E1" s="33"/>
    </row>
    <row r="2" customFormat="false" ht="30" hidden="false" customHeight="true" outlineLevel="0" collapsed="false">
      <c r="A2" s="2" t="s">
        <v>57</v>
      </c>
      <c r="B2" s="2"/>
      <c r="C2" s="2"/>
      <c r="D2" s="2"/>
      <c r="E2" s="2"/>
    </row>
    <row r="3" customFormat="false" ht="15" hidden="false" customHeight="false" outlineLevel="0" collapsed="false">
      <c r="A3" s="34" t="s">
        <v>58</v>
      </c>
      <c r="B3" s="34" t="s">
        <v>9</v>
      </c>
      <c r="C3" s="34" t="s">
        <v>59</v>
      </c>
      <c r="D3" s="34" t="s">
        <v>60</v>
      </c>
      <c r="E3" s="34" t="s">
        <v>61</v>
      </c>
    </row>
    <row r="4" customFormat="false" ht="15" hidden="false" customHeight="true" outlineLevel="0" collapsed="false">
      <c r="A4" s="35" t="s">
        <v>62</v>
      </c>
      <c r="B4" s="35"/>
      <c r="C4" s="35"/>
      <c r="D4" s="35"/>
      <c r="E4" s="35"/>
    </row>
    <row r="5" customFormat="false" ht="32.8" hidden="false" customHeight="false" outlineLevel="0" collapsed="false">
      <c r="A5" s="36"/>
      <c r="B5" s="37" t="s">
        <v>63</v>
      </c>
      <c r="C5" s="36" t="s">
        <v>64</v>
      </c>
      <c r="D5" s="38"/>
      <c r="E5" s="36"/>
    </row>
    <row r="6" customFormat="false" ht="15" hidden="false" customHeight="true" outlineLevel="0" collapsed="false">
      <c r="A6" s="35" t="s">
        <v>65</v>
      </c>
      <c r="B6" s="35"/>
      <c r="C6" s="35"/>
      <c r="D6" s="35"/>
      <c r="E6" s="35"/>
    </row>
    <row r="7" customFormat="false" ht="22.35" hidden="false" customHeight="false" outlineLevel="0" collapsed="false">
      <c r="A7" s="36"/>
      <c r="B7" s="37" t="s">
        <v>66</v>
      </c>
      <c r="C7" s="36" t="s">
        <v>67</v>
      </c>
      <c r="D7" s="38"/>
      <c r="E7" s="36"/>
    </row>
    <row r="8" customFormat="false" ht="15" hidden="false" customHeight="false" outlineLevel="0" collapsed="false">
      <c r="A8" s="36"/>
      <c r="B8" s="37" t="s">
        <v>68</v>
      </c>
      <c r="C8" s="36" t="s">
        <v>69</v>
      </c>
      <c r="D8" s="38"/>
      <c r="E8" s="36"/>
    </row>
    <row r="9" customFormat="false" ht="15" hidden="false" customHeight="false" outlineLevel="0" collapsed="false">
      <c r="A9" s="36"/>
      <c r="B9" s="37" t="s">
        <v>70</v>
      </c>
      <c r="C9" s="36" t="s">
        <v>71</v>
      </c>
      <c r="D9" s="38"/>
      <c r="E9" s="36"/>
    </row>
    <row r="10" customFormat="false" ht="15" hidden="false" customHeight="true" outlineLevel="0" collapsed="false">
      <c r="A10" s="35" t="s">
        <v>72</v>
      </c>
      <c r="B10" s="35"/>
      <c r="C10" s="35"/>
      <c r="D10" s="35"/>
      <c r="E10" s="35"/>
    </row>
    <row r="11" customFormat="false" ht="22.35" hidden="false" customHeight="false" outlineLevel="0" collapsed="false">
      <c r="A11" s="36"/>
      <c r="B11" s="37" t="s">
        <v>73</v>
      </c>
      <c r="C11" s="36" t="s">
        <v>74</v>
      </c>
      <c r="D11" s="38"/>
      <c r="E11" s="36" t="s">
        <v>75</v>
      </c>
    </row>
    <row r="12" customFormat="false" ht="15" hidden="false" customHeight="false" outlineLevel="0" collapsed="false">
      <c r="A12" s="36"/>
      <c r="B12" s="37" t="s">
        <v>76</v>
      </c>
      <c r="C12" s="36" t="s">
        <v>77</v>
      </c>
      <c r="D12" s="38"/>
      <c r="E12" s="36"/>
    </row>
    <row r="13" customFormat="false" ht="15" hidden="false" customHeight="false" outlineLevel="0" collapsed="false">
      <c r="A13" s="36"/>
      <c r="B13" s="37" t="s">
        <v>78</v>
      </c>
      <c r="C13" s="36" t="s">
        <v>79</v>
      </c>
      <c r="D13" s="38"/>
      <c r="E13" s="36"/>
    </row>
    <row r="14" customFormat="false" ht="22.35" hidden="false" customHeight="false" outlineLevel="0" collapsed="false">
      <c r="A14" s="36"/>
      <c r="B14" s="37" t="s">
        <v>80</v>
      </c>
      <c r="C14" s="36" t="s">
        <v>81</v>
      </c>
      <c r="D14" s="38"/>
      <c r="E14" s="36" t="s">
        <v>82</v>
      </c>
    </row>
    <row r="15" customFormat="false" ht="22.35" hidden="false" customHeight="false" outlineLevel="0" collapsed="false">
      <c r="A15" s="36"/>
      <c r="B15" s="37" t="s">
        <v>83</v>
      </c>
      <c r="C15" s="36" t="s">
        <v>84</v>
      </c>
      <c r="D15" s="38"/>
      <c r="E15" s="36"/>
    </row>
    <row r="16" customFormat="false" ht="15" hidden="false" customHeight="true" outlineLevel="0" collapsed="false">
      <c r="A16" s="35" t="s">
        <v>85</v>
      </c>
      <c r="B16" s="35"/>
      <c r="C16" s="35"/>
      <c r="D16" s="35"/>
      <c r="E16" s="35"/>
    </row>
    <row r="17" customFormat="false" ht="15" hidden="false" customHeight="false" outlineLevel="0" collapsed="false">
      <c r="A17" s="36"/>
      <c r="B17" s="37" t="s">
        <v>86</v>
      </c>
      <c r="C17" s="36" t="s">
        <v>87</v>
      </c>
      <c r="D17" s="38"/>
      <c r="E17" s="36"/>
    </row>
    <row r="18" customFormat="false" ht="22.35" hidden="false" customHeight="false" outlineLevel="0" collapsed="false">
      <c r="A18" s="36"/>
      <c r="B18" s="37" t="s">
        <v>88</v>
      </c>
      <c r="C18" s="36" t="s">
        <v>89</v>
      </c>
      <c r="D18" s="38"/>
      <c r="E18" s="36"/>
    </row>
    <row r="19" customFormat="false" ht="15" hidden="false" customHeight="false" outlineLevel="0" collapsed="false">
      <c r="A19" s="36"/>
      <c r="B19" s="37" t="s">
        <v>90</v>
      </c>
      <c r="C19" s="36" t="s">
        <v>91</v>
      </c>
      <c r="D19" s="38"/>
      <c r="E19" s="36"/>
    </row>
    <row r="20" customFormat="false" ht="15" hidden="false" customHeight="false" outlineLevel="0" collapsed="false">
      <c r="A20" s="36"/>
      <c r="B20" s="37" t="s">
        <v>92</v>
      </c>
      <c r="C20" s="36" t="s">
        <v>93</v>
      </c>
      <c r="D20" s="38"/>
      <c r="E20" s="36"/>
    </row>
    <row r="21" customFormat="false" ht="22.35" hidden="false" customHeight="false" outlineLevel="0" collapsed="false">
      <c r="A21" s="36"/>
      <c r="B21" s="37" t="s">
        <v>94</v>
      </c>
      <c r="C21" s="36" t="s">
        <v>95</v>
      </c>
      <c r="D21" s="38"/>
      <c r="E21" s="36"/>
    </row>
    <row r="22" customFormat="false" ht="15" hidden="false" customHeight="false" outlineLevel="0" collapsed="false">
      <c r="A22" s="36"/>
      <c r="B22" s="37" t="s">
        <v>96</v>
      </c>
      <c r="C22" s="36" t="s">
        <v>97</v>
      </c>
      <c r="D22" s="38"/>
      <c r="E22" s="36"/>
    </row>
    <row r="23" customFormat="false" ht="15" hidden="false" customHeight="false" outlineLevel="0" collapsed="false">
      <c r="A23" s="36"/>
      <c r="B23" s="37" t="s">
        <v>98</v>
      </c>
      <c r="C23" s="36" t="s">
        <v>99</v>
      </c>
      <c r="D23" s="38"/>
      <c r="E23" s="36"/>
    </row>
    <row r="24" customFormat="false" ht="15" hidden="false" customHeight="true" outlineLevel="0" collapsed="false">
      <c r="A24" s="35" t="s">
        <v>100</v>
      </c>
      <c r="B24" s="35"/>
      <c r="C24" s="35"/>
      <c r="D24" s="35"/>
      <c r="E24" s="35"/>
    </row>
    <row r="25" customFormat="false" ht="15" hidden="false" customHeight="false" outlineLevel="0" collapsed="false">
      <c r="A25" s="36"/>
      <c r="B25" s="37" t="s">
        <v>101</v>
      </c>
      <c r="C25" s="36" t="s">
        <v>102</v>
      </c>
      <c r="D25" s="38"/>
      <c r="E25" s="36"/>
    </row>
    <row r="26" customFormat="false" ht="15" hidden="false" customHeight="false" outlineLevel="0" collapsed="false">
      <c r="A26" s="36"/>
      <c r="B26" s="37" t="s">
        <v>103</v>
      </c>
      <c r="C26" s="36" t="s">
        <v>104</v>
      </c>
      <c r="D26" s="38"/>
      <c r="E26" s="36"/>
    </row>
    <row r="27" customFormat="false" ht="15" hidden="false" customHeight="false" outlineLevel="0" collapsed="false">
      <c r="A27" s="36"/>
      <c r="B27" s="37" t="s">
        <v>105</v>
      </c>
      <c r="C27" s="36" t="s">
        <v>106</v>
      </c>
      <c r="D27" s="38"/>
      <c r="E27" s="36"/>
    </row>
    <row r="28" customFormat="false" ht="15" hidden="false" customHeight="false" outlineLevel="0" collapsed="false">
      <c r="A28" s="36"/>
      <c r="B28" s="37" t="s">
        <v>107</v>
      </c>
      <c r="C28" s="36" t="s">
        <v>108</v>
      </c>
      <c r="D28" s="38"/>
      <c r="E28" s="36"/>
    </row>
    <row r="29" customFormat="false" ht="15" hidden="false" customHeight="false" outlineLevel="0" collapsed="false">
      <c r="A29" s="36"/>
      <c r="B29" s="37" t="s">
        <v>109</v>
      </c>
      <c r="C29" s="36" t="s">
        <v>110</v>
      </c>
      <c r="D29" s="38"/>
      <c r="E29" s="36"/>
    </row>
    <row r="30" customFormat="false" ht="15" hidden="false" customHeight="false" outlineLevel="0" collapsed="false">
      <c r="A30" s="36"/>
      <c r="B30" s="37" t="s">
        <v>111</v>
      </c>
      <c r="C30" s="36" t="s">
        <v>112</v>
      </c>
      <c r="D30" s="38"/>
      <c r="E30" s="36"/>
    </row>
    <row r="31" customFormat="false" ht="15" hidden="false" customHeight="true" outlineLevel="0" collapsed="false">
      <c r="A31" s="39" t="s">
        <v>113</v>
      </c>
      <c r="B31" s="39"/>
      <c r="C31" s="39"/>
      <c r="D31" s="39"/>
      <c r="E31" s="39"/>
    </row>
    <row r="32" customFormat="false" ht="22.35" hidden="false" customHeight="false" outlineLevel="0" collapsed="false">
      <c r="A32" s="40"/>
      <c r="B32" s="41" t="s">
        <v>114</v>
      </c>
      <c r="C32" s="40" t="s">
        <v>115</v>
      </c>
      <c r="D32" s="42" t="s">
        <v>116</v>
      </c>
      <c r="E32" s="40" t="s">
        <v>117</v>
      </c>
    </row>
    <row r="33" customFormat="false" ht="22.35" hidden="false" customHeight="false" outlineLevel="0" collapsed="false">
      <c r="A33" s="40"/>
      <c r="B33" s="41" t="s">
        <v>118</v>
      </c>
      <c r="C33" s="40" t="s">
        <v>119</v>
      </c>
      <c r="D33" s="42" t="s">
        <v>120</v>
      </c>
      <c r="E33" s="40" t="s">
        <v>117</v>
      </c>
    </row>
    <row r="34" customFormat="false" ht="22.35" hidden="false" customHeight="false" outlineLevel="0" collapsed="false">
      <c r="A34" s="40"/>
      <c r="B34" s="41" t="s">
        <v>121</v>
      </c>
      <c r="C34" s="40" t="s">
        <v>122</v>
      </c>
      <c r="D34" s="42" t="s">
        <v>123</v>
      </c>
      <c r="E34" s="40" t="s">
        <v>117</v>
      </c>
    </row>
    <row r="35" customFormat="false" ht="22.35" hidden="false" customHeight="false" outlineLevel="0" collapsed="false">
      <c r="A35" s="40"/>
      <c r="B35" s="41" t="s">
        <v>40</v>
      </c>
      <c r="C35" s="40" t="s">
        <v>124</v>
      </c>
      <c r="D35" s="42" t="s">
        <v>120</v>
      </c>
      <c r="E35" s="40" t="s">
        <v>117</v>
      </c>
    </row>
    <row r="36" customFormat="false" ht="22.35" hidden="false" customHeight="false" outlineLevel="0" collapsed="false">
      <c r="A36" s="40"/>
      <c r="B36" s="41" t="s">
        <v>125</v>
      </c>
      <c r="C36" s="40" t="s">
        <v>126</v>
      </c>
      <c r="D36" s="42" t="s">
        <v>127</v>
      </c>
      <c r="E36" s="40" t="s">
        <v>128</v>
      </c>
    </row>
    <row r="37" customFormat="false" ht="15" hidden="false" customHeight="true" outlineLevel="0" collapsed="false">
      <c r="A37" s="39" t="s">
        <v>129</v>
      </c>
      <c r="B37" s="39"/>
      <c r="C37" s="39"/>
      <c r="D37" s="39"/>
      <c r="E37" s="39"/>
    </row>
    <row r="38" customFormat="false" ht="15" hidden="false" customHeight="false" outlineLevel="0" collapsed="false">
      <c r="A38" s="40"/>
      <c r="B38" s="41" t="s">
        <v>130</v>
      </c>
      <c r="C38" s="40" t="s">
        <v>131</v>
      </c>
      <c r="D38" s="42" t="s">
        <v>123</v>
      </c>
      <c r="E38" s="40"/>
    </row>
    <row r="39" customFormat="false" ht="15" hidden="false" customHeight="false" outlineLevel="0" collapsed="false">
      <c r="A39" s="40"/>
      <c r="B39" s="41" t="s">
        <v>132</v>
      </c>
      <c r="C39" s="40" t="s">
        <v>133</v>
      </c>
      <c r="D39" s="42" t="s">
        <v>123</v>
      </c>
      <c r="E39" s="40"/>
    </row>
    <row r="40" customFormat="false" ht="15" hidden="false" customHeight="false" outlineLevel="0" collapsed="false">
      <c r="A40" s="40"/>
      <c r="B40" s="41" t="s">
        <v>134</v>
      </c>
      <c r="C40" s="40" t="s">
        <v>135</v>
      </c>
      <c r="D40" s="42" t="s">
        <v>136</v>
      </c>
      <c r="E40" s="40" t="s">
        <v>137</v>
      </c>
    </row>
    <row r="41" customFormat="false" ht="22.35" hidden="false" customHeight="false" outlineLevel="0" collapsed="false">
      <c r="A41" s="40"/>
      <c r="B41" s="41" t="s">
        <v>50</v>
      </c>
      <c r="C41" s="40" t="s">
        <v>138</v>
      </c>
      <c r="D41" s="42" t="s">
        <v>139</v>
      </c>
      <c r="E41" s="40"/>
    </row>
    <row r="42" customFormat="false" ht="15" hidden="false" customHeight="false" outlineLevel="0" collapsed="false">
      <c r="A42" s="40"/>
      <c r="B42" s="41" t="s">
        <v>140</v>
      </c>
      <c r="C42" s="40" t="s">
        <v>141</v>
      </c>
      <c r="D42" s="42" t="s">
        <v>136</v>
      </c>
      <c r="E42" s="40"/>
    </row>
    <row r="43" customFormat="false" ht="15" hidden="false" customHeight="true" outlineLevel="0" collapsed="false">
      <c r="A43" s="35" t="s">
        <v>142</v>
      </c>
      <c r="B43" s="35"/>
      <c r="C43" s="35"/>
      <c r="D43" s="35"/>
      <c r="E43" s="35"/>
    </row>
    <row r="44" customFormat="false" ht="15" hidden="false" customHeight="false" outlineLevel="0" collapsed="false">
      <c r="A44" s="36"/>
      <c r="B44" s="37" t="s">
        <v>143</v>
      </c>
      <c r="C44" s="36" t="s">
        <v>144</v>
      </c>
      <c r="D44" s="38"/>
      <c r="E44" s="36"/>
    </row>
    <row r="45" customFormat="false" ht="15" hidden="false" customHeight="false" outlineLevel="0" collapsed="false">
      <c r="A45" s="36"/>
      <c r="B45" s="37" t="s">
        <v>145</v>
      </c>
      <c r="C45" s="36" t="s">
        <v>146</v>
      </c>
      <c r="D45" s="38"/>
      <c r="E45" s="36"/>
    </row>
    <row r="46" customFormat="false" ht="15" hidden="false" customHeight="false" outlineLevel="0" collapsed="false">
      <c r="A46" s="36"/>
      <c r="B46" s="37" t="s">
        <v>147</v>
      </c>
      <c r="C46" s="36" t="s">
        <v>148</v>
      </c>
      <c r="D46" s="38"/>
      <c r="E46" s="36"/>
    </row>
    <row r="47" customFormat="false" ht="15" hidden="false" customHeight="false" outlineLevel="0" collapsed="false">
      <c r="A47" s="36"/>
      <c r="B47" s="37" t="s">
        <v>149</v>
      </c>
      <c r="C47" s="36" t="s">
        <v>150</v>
      </c>
      <c r="D47" s="38"/>
      <c r="E47" s="36"/>
    </row>
    <row r="48" customFormat="false" ht="15" hidden="false" customHeight="true" outlineLevel="0" collapsed="false">
      <c r="A48" s="35" t="s">
        <v>151</v>
      </c>
      <c r="B48" s="35"/>
      <c r="C48" s="35"/>
      <c r="D48" s="35"/>
      <c r="E48" s="35"/>
    </row>
    <row r="49" customFormat="false" ht="32.8" hidden="false" customHeight="false" outlineLevel="0" collapsed="false">
      <c r="A49" s="36"/>
      <c r="B49" s="37" t="s">
        <v>152</v>
      </c>
      <c r="C49" s="36" t="s">
        <v>153</v>
      </c>
      <c r="D49" s="38"/>
      <c r="E49" s="36" t="s">
        <v>154</v>
      </c>
    </row>
    <row r="50" customFormat="false" ht="22.35" hidden="false" customHeight="false" outlineLevel="0" collapsed="false">
      <c r="A50" s="36"/>
      <c r="B50" s="37" t="s">
        <v>155</v>
      </c>
      <c r="C50" s="36" t="s">
        <v>156</v>
      </c>
      <c r="D50" s="38"/>
      <c r="E50" s="36" t="s">
        <v>157</v>
      </c>
    </row>
    <row r="51" customFormat="false" ht="32.8" hidden="false" customHeight="false" outlineLevel="0" collapsed="false">
      <c r="A51" s="36"/>
      <c r="B51" s="37" t="s">
        <v>158</v>
      </c>
      <c r="C51" s="36" t="s">
        <v>159</v>
      </c>
      <c r="D51" s="38"/>
      <c r="E51" s="36" t="s">
        <v>160</v>
      </c>
    </row>
    <row r="52" customFormat="false" ht="15" hidden="false" customHeight="true" outlineLevel="0" collapsed="false">
      <c r="A52" s="35" t="s">
        <v>161</v>
      </c>
      <c r="B52" s="35"/>
      <c r="C52" s="35"/>
      <c r="D52" s="35"/>
      <c r="E52" s="35"/>
    </row>
    <row r="53" customFormat="false" ht="22.35" hidden="false" customHeight="false" outlineLevel="0" collapsed="false">
      <c r="A53" s="36"/>
      <c r="B53" s="37" t="s">
        <v>162</v>
      </c>
      <c r="C53" s="36" t="s">
        <v>163</v>
      </c>
      <c r="D53" s="38"/>
      <c r="E53" s="36"/>
    </row>
    <row r="54" customFormat="false" ht="15" hidden="false" customHeight="false" outlineLevel="0" collapsed="false">
      <c r="A54" s="36"/>
      <c r="B54" s="37" t="s">
        <v>164</v>
      </c>
      <c r="C54" s="36" t="s">
        <v>165</v>
      </c>
      <c r="D54" s="38"/>
      <c r="E54" s="36"/>
    </row>
    <row r="55" customFormat="false" ht="15" hidden="false" customHeight="false" outlineLevel="0" collapsed="false">
      <c r="A55" s="36"/>
      <c r="B55" s="37" t="s">
        <v>166</v>
      </c>
      <c r="C55" s="36" t="s">
        <v>167</v>
      </c>
      <c r="D55" s="38"/>
      <c r="E55" s="36"/>
    </row>
    <row r="56" customFormat="false" ht="15" hidden="false" customHeight="false" outlineLevel="0" collapsed="false">
      <c r="A56" s="36"/>
      <c r="B56" s="37" t="s">
        <v>168</v>
      </c>
      <c r="C56" s="36" t="s">
        <v>169</v>
      </c>
      <c r="D56" s="38"/>
      <c r="E56" s="36"/>
    </row>
    <row r="57" customFormat="false" ht="15" hidden="false" customHeight="true" outlineLevel="0" collapsed="false">
      <c r="A57" s="35" t="s">
        <v>170</v>
      </c>
      <c r="B57" s="35"/>
      <c r="C57" s="35"/>
      <c r="D57" s="35"/>
      <c r="E57" s="35"/>
    </row>
    <row r="58" customFormat="false" ht="15" hidden="false" customHeight="false" outlineLevel="0" collapsed="false">
      <c r="A58" s="36"/>
      <c r="B58" s="37" t="s">
        <v>171</v>
      </c>
      <c r="C58" s="36" t="s">
        <v>172</v>
      </c>
      <c r="D58" s="38"/>
      <c r="E58" s="36"/>
    </row>
    <row r="59" customFormat="false" ht="15" hidden="false" customHeight="false" outlineLevel="0" collapsed="false">
      <c r="A59" s="36"/>
      <c r="B59" s="37" t="s">
        <v>173</v>
      </c>
      <c r="C59" s="36" t="s">
        <v>174</v>
      </c>
      <c r="D59" s="38"/>
      <c r="E59" s="36"/>
    </row>
    <row r="60" customFormat="false" ht="15" hidden="false" customHeight="false" outlineLevel="0" collapsed="false">
      <c r="A60" s="36"/>
      <c r="B60" s="37" t="s">
        <v>175</v>
      </c>
      <c r="C60" s="36" t="s">
        <v>176</v>
      </c>
      <c r="D60" s="38"/>
      <c r="E60" s="36"/>
    </row>
    <row r="61" customFormat="false" ht="22.35" hidden="false" customHeight="false" outlineLevel="0" collapsed="false">
      <c r="A61" s="36"/>
      <c r="B61" s="37" t="s">
        <v>177</v>
      </c>
      <c r="C61" s="36" t="s">
        <v>178</v>
      </c>
      <c r="D61" s="38"/>
      <c r="E61" s="36"/>
    </row>
    <row r="62" customFormat="false" ht="15" hidden="false" customHeight="true" outlineLevel="0" collapsed="false">
      <c r="A62" s="35" t="s">
        <v>179</v>
      </c>
      <c r="B62" s="35"/>
      <c r="C62" s="35"/>
      <c r="D62" s="35"/>
      <c r="E62" s="35"/>
    </row>
    <row r="63" customFormat="false" ht="15" hidden="false" customHeight="false" outlineLevel="0" collapsed="false">
      <c r="A63" s="36"/>
      <c r="B63" s="37" t="s">
        <v>180</v>
      </c>
      <c r="C63" s="36" t="s">
        <v>181</v>
      </c>
      <c r="D63" s="38"/>
      <c r="E63" s="36"/>
    </row>
    <row r="64" customFormat="false" ht="43.25" hidden="false" customHeight="false" outlineLevel="0" collapsed="false">
      <c r="A64" s="36"/>
      <c r="B64" s="37" t="s">
        <v>182</v>
      </c>
      <c r="C64" s="36" t="s">
        <v>183</v>
      </c>
      <c r="D64" s="38"/>
      <c r="E64" s="36" t="s">
        <v>184</v>
      </c>
    </row>
    <row r="65" customFormat="false" ht="32.8" hidden="false" customHeight="false" outlineLevel="0" collapsed="false">
      <c r="A65" s="36"/>
      <c r="B65" s="37" t="s">
        <v>185</v>
      </c>
      <c r="C65" s="36" t="s">
        <v>186</v>
      </c>
      <c r="D65" s="38"/>
      <c r="E65" s="36" t="s">
        <v>187</v>
      </c>
    </row>
    <row r="66" customFormat="false" ht="15" hidden="false" customHeight="false" outlineLevel="0" collapsed="false">
      <c r="A66" s="36"/>
      <c r="B66" s="37" t="s">
        <v>188</v>
      </c>
      <c r="C66" s="36" t="s">
        <v>189</v>
      </c>
      <c r="D66" s="38"/>
      <c r="E66" s="36"/>
    </row>
    <row r="67" customFormat="false" ht="15" hidden="false" customHeight="false" outlineLevel="0" collapsed="false">
      <c r="A67" s="36"/>
      <c r="B67" s="37" t="s">
        <v>190</v>
      </c>
      <c r="C67" s="36" t="s">
        <v>191</v>
      </c>
      <c r="D67" s="38"/>
      <c r="E67" s="36"/>
    </row>
    <row r="68" customFormat="false" ht="15" hidden="false" customHeight="false" outlineLevel="0" collapsed="false">
      <c r="A68" s="36"/>
      <c r="B68" s="37" t="s">
        <v>192</v>
      </c>
      <c r="C68" s="36" t="s">
        <v>193</v>
      </c>
      <c r="D68" s="38"/>
      <c r="E68" s="36"/>
    </row>
    <row r="69" customFormat="false" ht="15" hidden="false" customHeight="false" outlineLevel="0" collapsed="false">
      <c r="A69" s="36"/>
      <c r="B69" s="37" t="s">
        <v>194</v>
      </c>
      <c r="C69" s="36" t="s">
        <v>195</v>
      </c>
      <c r="D69" s="38"/>
      <c r="E69" s="36"/>
    </row>
    <row r="70" customFormat="false" ht="15" hidden="false" customHeight="false" outlineLevel="0" collapsed="false">
      <c r="A70" s="36"/>
      <c r="B70" s="37" t="s">
        <v>196</v>
      </c>
      <c r="C70" s="36" t="s">
        <v>197</v>
      </c>
      <c r="D70" s="38"/>
      <c r="E70" s="36"/>
    </row>
    <row r="71" customFormat="false" ht="15" hidden="false" customHeight="false" outlineLevel="0" collapsed="false">
      <c r="A71" s="36"/>
      <c r="B71" s="37" t="s">
        <v>198</v>
      </c>
      <c r="C71" s="36" t="s">
        <v>199</v>
      </c>
      <c r="D71" s="38"/>
      <c r="E71" s="36"/>
    </row>
    <row r="72" customFormat="false" ht="15" hidden="false" customHeight="false" outlineLevel="0" collapsed="false">
      <c r="A72" s="36"/>
      <c r="B72" s="37" t="s">
        <v>200</v>
      </c>
      <c r="C72" s="36" t="s">
        <v>201</v>
      </c>
      <c r="D72" s="38"/>
      <c r="E72" s="36"/>
    </row>
    <row r="73" customFormat="false" ht="15" hidden="false" customHeight="false" outlineLevel="0" collapsed="false">
      <c r="A73" s="36"/>
      <c r="B73" s="37" t="s">
        <v>202</v>
      </c>
      <c r="C73" s="36" t="s">
        <v>203</v>
      </c>
      <c r="D73" s="38"/>
      <c r="E73" s="36"/>
    </row>
    <row r="74" customFormat="false" ht="15" hidden="false" customHeight="false" outlineLevel="0" collapsed="false">
      <c r="A74" s="36"/>
      <c r="B74" s="37" t="s">
        <v>204</v>
      </c>
      <c r="C74" s="36" t="s">
        <v>205</v>
      </c>
      <c r="D74" s="38"/>
      <c r="E74" s="36"/>
    </row>
    <row r="75" customFormat="false" ht="15" hidden="false" customHeight="false" outlineLevel="0" collapsed="false">
      <c r="A75" s="36"/>
      <c r="B75" s="37" t="s">
        <v>206</v>
      </c>
      <c r="C75" s="36" t="s">
        <v>207</v>
      </c>
      <c r="D75" s="38"/>
      <c r="E75" s="36"/>
    </row>
    <row r="76" customFormat="false" ht="15" hidden="false" customHeight="false" outlineLevel="0" collapsed="false">
      <c r="A76" s="36"/>
      <c r="B76" s="37" t="s">
        <v>208</v>
      </c>
      <c r="C76" s="36" t="s">
        <v>209</v>
      </c>
      <c r="D76" s="38"/>
      <c r="E76" s="36"/>
    </row>
    <row r="77" customFormat="false" ht="15" hidden="false" customHeight="false" outlineLevel="0" collapsed="false">
      <c r="A77" s="36"/>
      <c r="B77" s="37" t="s">
        <v>210</v>
      </c>
      <c r="C77" s="36" t="s">
        <v>211</v>
      </c>
      <c r="D77" s="38"/>
      <c r="E77" s="36"/>
    </row>
    <row r="79" customFormat="false" ht="15.75" hidden="false" customHeight="true" outlineLevel="0" collapsed="false">
      <c r="A79" s="43" t="s">
        <v>212</v>
      </c>
      <c r="B79" s="43"/>
      <c r="C79" s="43"/>
      <c r="D79" s="43"/>
      <c r="E79" s="43"/>
    </row>
    <row r="80" customFormat="false" ht="25.5" hidden="false" customHeight="true" outlineLevel="0" collapsed="false">
      <c r="A80" s="44" t="s">
        <v>213</v>
      </c>
      <c r="B80" s="44"/>
      <c r="C80" s="44"/>
      <c r="D80" s="44"/>
      <c r="E80" s="44"/>
    </row>
    <row r="81" customFormat="false" ht="25.5" hidden="false" customHeight="true" outlineLevel="0" collapsed="false">
      <c r="A81" s="44" t="s">
        <v>214</v>
      </c>
      <c r="B81" s="44"/>
      <c r="C81" s="44"/>
      <c r="D81" s="44"/>
      <c r="E81" s="44"/>
    </row>
    <row r="82" customFormat="false" ht="25.5" hidden="false" customHeight="true" outlineLevel="0" collapsed="false">
      <c r="A82" s="44" t="s">
        <v>215</v>
      </c>
      <c r="B82" s="44"/>
      <c r="C82" s="44"/>
      <c r="D82" s="44"/>
      <c r="E82" s="44"/>
    </row>
    <row r="83" customFormat="false" ht="25.5" hidden="false" customHeight="true" outlineLevel="0" collapsed="false">
      <c r="A83" s="44" t="s">
        <v>216</v>
      </c>
      <c r="B83" s="44"/>
      <c r="C83" s="44"/>
      <c r="D83" s="44"/>
      <c r="E83" s="44"/>
    </row>
    <row r="84" customFormat="false" ht="25.5" hidden="false" customHeight="true" outlineLevel="0" collapsed="false">
      <c r="A84" s="44" t="s">
        <v>217</v>
      </c>
      <c r="B84" s="44"/>
      <c r="C84" s="44"/>
      <c r="D84" s="44"/>
      <c r="E84" s="44"/>
    </row>
    <row r="85" customFormat="false" ht="25.5" hidden="false" customHeight="true" outlineLevel="0" collapsed="false">
      <c r="A85" s="44" t="s">
        <v>218</v>
      </c>
      <c r="B85" s="44"/>
      <c r="C85" s="44"/>
      <c r="D85" s="44"/>
      <c r="E85" s="44"/>
    </row>
  </sheetData>
  <mergeCells count="21">
    <mergeCell ref="A1:E1"/>
    <mergeCell ref="A2:E2"/>
    <mergeCell ref="A4:E4"/>
    <mergeCell ref="A6:E6"/>
    <mergeCell ref="A10:E10"/>
    <mergeCell ref="A16:E16"/>
    <mergeCell ref="A24:E24"/>
    <mergeCell ref="A31:E31"/>
    <mergeCell ref="A37:E37"/>
    <mergeCell ref="A43:E43"/>
    <mergeCell ref="A48:E48"/>
    <mergeCell ref="A52:E52"/>
    <mergeCell ref="A57:E57"/>
    <mergeCell ref="A62:E62"/>
    <mergeCell ref="A79:E79"/>
    <mergeCell ref="A80:E80"/>
    <mergeCell ref="A81:E81"/>
    <mergeCell ref="A82:E82"/>
    <mergeCell ref="A83:E83"/>
    <mergeCell ref="A84:E84"/>
    <mergeCell ref="A85:E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4" min="2" style="0" width="13"/>
  </cols>
  <sheetData>
    <row r="1" customFormat="false" ht="27" hidden="false" customHeight="true" outlineLevel="0" collapsed="false">
      <c r="A1" s="33" t="s">
        <v>219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customFormat="false" ht="15" hidden="false" customHeight="true" outlineLevel="0" collapsed="false">
      <c r="A2" s="2" t="s">
        <v>220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45.75" hidden="false" customHeight="true" outlineLevel="0" collapsed="false">
      <c r="A3" s="34" t="s">
        <v>5</v>
      </c>
      <c r="B3" s="34" t="s">
        <v>221</v>
      </c>
      <c r="C3" s="34" t="s">
        <v>222</v>
      </c>
      <c r="D3" s="34" t="s">
        <v>223</v>
      </c>
      <c r="E3" s="34" t="s">
        <v>224</v>
      </c>
      <c r="F3" s="34" t="s">
        <v>225</v>
      </c>
      <c r="G3" s="12" t="s">
        <v>226</v>
      </c>
      <c r="H3" s="12" t="s">
        <v>227</v>
      </c>
      <c r="I3" s="34" t="s">
        <v>228</v>
      </c>
      <c r="J3" s="34" t="s">
        <v>229</v>
      </c>
      <c r="K3" s="34" t="s">
        <v>230</v>
      </c>
      <c r="L3" s="34" t="s">
        <v>231</v>
      </c>
      <c r="M3" s="34" t="s">
        <v>232</v>
      </c>
      <c r="N3" s="34" t="s">
        <v>233</v>
      </c>
    </row>
    <row r="4" customFormat="false" ht="15" hidden="false" customHeight="false" outlineLevel="0" collapsed="false">
      <c r="A4" s="45" t="s">
        <v>234</v>
      </c>
      <c r="B4" s="38" t="n">
        <f aca="false">COUNTIFS('Output Data'!$O$9:$O$109,1,'Output Data'!$A$9:$A$109,$A4)</f>
        <v>0</v>
      </c>
      <c r="C4" s="38" t="n">
        <f aca="false">COUNTIFS('Output Data'!$O$9:$O$109,2,'Output Data'!$A$9:$A$109,$A4)</f>
        <v>0</v>
      </c>
      <c r="D4" s="38" t="n">
        <f aca="false">COUNTIFS('Output Data'!$O$9:$O$109,3,'Output Data'!$A$9:$A$109,$A4)</f>
        <v>0</v>
      </c>
      <c r="E4" s="38" t="n">
        <f aca="false">COUNTIFS('Output Data'!$O$9:$O$109,4,'Output Data'!$A$9:$A$109,$A4)</f>
        <v>0</v>
      </c>
      <c r="F4" s="38" t="n">
        <f aca="false">COUNTIFS('Output Data'!$O$9:$O$109,5,'Output Data'!$A$9:$A$109,$A4)</f>
        <v>0</v>
      </c>
      <c r="G4" s="38" t="n">
        <f aca="false">COUNTIFS('Output Data'!$O$9:$O$109,6,'Output Data'!$A$9:$A$109,$A4)</f>
        <v>0</v>
      </c>
      <c r="H4" s="38" t="n">
        <f aca="false">COUNTIFS('Output Data'!$O$9:$O$109,7,'Output Data'!$A$9:$A$109,$A4)</f>
        <v>0</v>
      </c>
      <c r="I4" s="38" t="n">
        <f aca="false">COUNTIFS('Output Data'!$O$9:$O$109,8,'Output Data'!$A$9:$A$109,$A4)</f>
        <v>0</v>
      </c>
      <c r="J4" s="38" t="n">
        <f aca="false">COUNTIFS('Output Data'!$O$9:$O$109,9,'Output Data'!$A$9:$A$109,$A4)</f>
        <v>0</v>
      </c>
      <c r="K4" s="38" t="n">
        <f aca="false">COUNTIFS('Output Data'!$O$9:$O$109,10,'Output Data'!$A$9:$A$109,$A4)</f>
        <v>0</v>
      </c>
      <c r="L4" s="38" t="n">
        <f aca="false">COUNTIFS('Output Data'!$O$9:$O$109,11,'Output Data'!$A$9:$A$109,$A4)</f>
        <v>0</v>
      </c>
      <c r="M4" s="38" t="n">
        <f aca="false">COUNTIFS('Output Data'!$O$9:$O$109,12,'Output Data'!$A$9:$A$109,$A4)</f>
        <v>0</v>
      </c>
      <c r="N4" s="38" t="n">
        <f aca="false">SUM(B4:M4)</f>
        <v>0</v>
      </c>
    </row>
    <row r="5" customFormat="false" ht="15" hidden="false" customHeight="false" outlineLevel="0" collapsed="false">
      <c r="A5" s="45" t="s">
        <v>235</v>
      </c>
      <c r="B5" s="38" t="n">
        <f aca="false">COUNTIFS('Output Data'!$O$9:$O$109,1,'Output Data'!$A$9:$A$109,$A5)</f>
        <v>0</v>
      </c>
      <c r="C5" s="38" t="n">
        <f aca="false">COUNTIFS('Output Data'!$O$9:$O$109,2,'Output Data'!$A$9:$A$109,$A5)</f>
        <v>0</v>
      </c>
      <c r="D5" s="38" t="n">
        <f aca="false">COUNTIFS('Output Data'!$O$9:$O$109,3,'Output Data'!$A$9:$A$109,$A5)</f>
        <v>0</v>
      </c>
      <c r="E5" s="38" t="n">
        <f aca="false">COUNTIFS('Output Data'!$O$9:$O$109,4,'Output Data'!$A$9:$A$109,$A5)</f>
        <v>0</v>
      </c>
      <c r="F5" s="38" t="n">
        <f aca="false">COUNTIFS('Output Data'!$O$9:$O$109,5,'Output Data'!$A$9:$A$109,$A5)</f>
        <v>0</v>
      </c>
      <c r="G5" s="38" t="n">
        <f aca="false">COUNTIFS('Output Data'!$O$9:$O$109,6,'Output Data'!$A$9:$A$109,$A5)</f>
        <v>0</v>
      </c>
      <c r="H5" s="38" t="n">
        <f aca="false">COUNTIFS('Output Data'!$O$9:$O$109,7,'Output Data'!$A$9:$A$109,$A5)</f>
        <v>0</v>
      </c>
      <c r="I5" s="38" t="n">
        <f aca="false">COUNTIFS('Output Data'!$O$9:$O$109,8,'Output Data'!$A$9:$A$109,$A5)</f>
        <v>0</v>
      </c>
      <c r="J5" s="38" t="n">
        <f aca="false">COUNTIFS('Output Data'!$O$9:$O$109,9,'Output Data'!$A$9:$A$109,$A5)</f>
        <v>0</v>
      </c>
      <c r="K5" s="38" t="n">
        <f aca="false">COUNTIFS('Output Data'!$O$9:$O$109,10,'Output Data'!$A$9:$A$109,$A5)</f>
        <v>0</v>
      </c>
      <c r="L5" s="38" t="n">
        <f aca="false">COUNTIFS('Output Data'!$O$9:$O$109,11,'Output Data'!$A$9:$A$109,$A5)</f>
        <v>0</v>
      </c>
      <c r="M5" s="38" t="n">
        <f aca="false">COUNTIFS('Output Data'!$O$9:$O$109,12,'Output Data'!$A$9:$A$109,$A5)</f>
        <v>0</v>
      </c>
      <c r="N5" s="38" t="n">
        <f aca="false">SUM(B5:M5)</f>
        <v>0</v>
      </c>
    </row>
    <row r="6" customFormat="false" ht="15" hidden="false" customHeight="false" outlineLevel="0" collapsed="false">
      <c r="A6" s="45" t="s">
        <v>236</v>
      </c>
      <c r="B6" s="38" t="n">
        <f aca="false">COUNTIFS('Output Data'!$O$9:$O$109,1,'Output Data'!$A$9:$A$109,$A6)</f>
        <v>0</v>
      </c>
      <c r="C6" s="38" t="n">
        <f aca="false">COUNTIFS('Output Data'!$O$9:$O$109,2,'Output Data'!$A$9:$A$109,$A6)</f>
        <v>0</v>
      </c>
      <c r="D6" s="38" t="n">
        <f aca="false">COUNTIFS('Output Data'!$O$9:$O$109,3,'Output Data'!$A$9:$A$109,$A6)</f>
        <v>0</v>
      </c>
      <c r="E6" s="38" t="n">
        <f aca="false">COUNTIFS('Output Data'!$O$9:$O$109,4,'Output Data'!$A$9:$A$109,$A6)</f>
        <v>0</v>
      </c>
      <c r="F6" s="38" t="n">
        <f aca="false">COUNTIFS('Output Data'!$O$9:$O$109,5,'Output Data'!$A$9:$A$109,$A6)</f>
        <v>0</v>
      </c>
      <c r="G6" s="38" t="n">
        <f aca="false">COUNTIFS('Output Data'!$O$9:$O$109,6,'Output Data'!$A$9:$A$109,$A6)</f>
        <v>0</v>
      </c>
      <c r="H6" s="38" t="n">
        <f aca="false">COUNTIFS('Output Data'!$O$9:$O$109,7,'Output Data'!$A$9:$A$109,$A6)</f>
        <v>0</v>
      </c>
      <c r="I6" s="38" t="n">
        <f aca="false">COUNTIFS('Output Data'!$O$9:$O$109,8,'Output Data'!$A$9:$A$109,$A6)</f>
        <v>0</v>
      </c>
      <c r="J6" s="38" t="n">
        <f aca="false">COUNTIFS('Output Data'!$O$9:$O$109,9,'Output Data'!$A$9:$A$109,$A6)</f>
        <v>0</v>
      </c>
      <c r="K6" s="38" t="n">
        <f aca="false">COUNTIFS('Output Data'!$O$9:$O$109,10,'Output Data'!$A$9:$A$109,$A6)</f>
        <v>0</v>
      </c>
      <c r="L6" s="38" t="n">
        <f aca="false">COUNTIFS('Output Data'!$O$9:$O$109,11,'Output Data'!$A$9:$A$109,$A6)</f>
        <v>0</v>
      </c>
      <c r="M6" s="38" t="n">
        <f aca="false">COUNTIFS('Output Data'!$O$9:$O$109,12,'Output Data'!$A$9:$A$109,$A6)</f>
        <v>0</v>
      </c>
      <c r="N6" s="38" t="n">
        <f aca="false">SUM(B6:M6)</f>
        <v>0</v>
      </c>
    </row>
    <row r="7" customFormat="false" ht="15" hidden="false" customHeight="false" outlineLevel="0" collapsed="false">
      <c r="A7" s="45" t="s">
        <v>237</v>
      </c>
      <c r="B7" s="38" t="n">
        <f aca="false">COUNTIFS('Output Data'!$O$9:$O$109,1,'Output Data'!$A$9:$A$109,$A7)</f>
        <v>0</v>
      </c>
      <c r="C7" s="38" t="n">
        <f aca="false">COUNTIFS('Output Data'!$O$9:$O$109,2,'Output Data'!$A$9:$A$109,$A7)</f>
        <v>0</v>
      </c>
      <c r="D7" s="38" t="n">
        <f aca="false">COUNTIFS('Output Data'!$O$9:$O$109,3,'Output Data'!$A$9:$A$109,$A7)</f>
        <v>0</v>
      </c>
      <c r="E7" s="38" t="n">
        <f aca="false">COUNTIFS('Output Data'!$O$9:$O$109,4,'Output Data'!$A$9:$A$109,$A7)</f>
        <v>0</v>
      </c>
      <c r="F7" s="38" t="n">
        <f aca="false">COUNTIFS('Output Data'!$O$9:$O$109,5,'Output Data'!$A$9:$A$109,$A7)</f>
        <v>0</v>
      </c>
      <c r="G7" s="38" t="n">
        <f aca="false">COUNTIFS('Output Data'!$O$9:$O$109,6,'Output Data'!$A$9:$A$109,$A7)</f>
        <v>0</v>
      </c>
      <c r="H7" s="38" t="n">
        <f aca="false">COUNTIFS('Output Data'!$O$9:$O$109,7,'Output Data'!$A$9:$A$109,$A7)</f>
        <v>0</v>
      </c>
      <c r="I7" s="38" t="n">
        <f aca="false">COUNTIFS('Output Data'!$O$9:$O$109,8,'Output Data'!$A$9:$A$109,$A7)</f>
        <v>0</v>
      </c>
      <c r="J7" s="38" t="n">
        <f aca="false">COUNTIFS('Output Data'!$O$9:$O$109,9,'Output Data'!$A$9:$A$109,$A7)</f>
        <v>0</v>
      </c>
      <c r="K7" s="38" t="n">
        <f aca="false">COUNTIFS('Output Data'!$O$9:$O$109,10,'Output Data'!$A$9:$A$109,$A7)</f>
        <v>0</v>
      </c>
      <c r="L7" s="38" t="n">
        <f aca="false">COUNTIFS('Output Data'!$O$9:$O$109,11,'Output Data'!$A$9:$A$109,$A7)</f>
        <v>0</v>
      </c>
      <c r="M7" s="38" t="n">
        <f aca="false">COUNTIFS('Output Data'!$O$9:$O$109,12,'Output Data'!$A$9:$A$109,$A7)</f>
        <v>0</v>
      </c>
      <c r="N7" s="38" t="n">
        <f aca="false">SUM(B7:M7)</f>
        <v>0</v>
      </c>
    </row>
    <row r="8" customFormat="false" ht="15" hidden="false" customHeight="false" outlineLevel="0" collapsed="false">
      <c r="A8" s="45" t="s">
        <v>238</v>
      </c>
      <c r="B8" s="38" t="n">
        <f aca="false">COUNTIFS('Output Data'!$O$9:$O$109,1,'Output Data'!$A$9:$A$109,$A8)</f>
        <v>0</v>
      </c>
      <c r="C8" s="38" t="n">
        <f aca="false">COUNTIFS('Output Data'!$O$9:$O$109,2,'Output Data'!$A$9:$A$109,$A8)</f>
        <v>0</v>
      </c>
      <c r="D8" s="38" t="n">
        <f aca="false">COUNTIFS('Output Data'!$O$9:$O$109,3,'Output Data'!$A$9:$A$109,$A8)</f>
        <v>0</v>
      </c>
      <c r="E8" s="38" t="n">
        <f aca="false">COUNTIFS('Output Data'!$O$9:$O$109,4,'Output Data'!$A$9:$A$109,$A8)</f>
        <v>0</v>
      </c>
      <c r="F8" s="38" t="n">
        <f aca="false">COUNTIFS('Output Data'!$O$9:$O$109,5,'Output Data'!$A$9:$A$109,$A8)</f>
        <v>0</v>
      </c>
      <c r="G8" s="38" t="n">
        <f aca="false">COUNTIFS('Output Data'!$O$9:$O$109,6,'Output Data'!$A$9:$A$109,$A8)</f>
        <v>0</v>
      </c>
      <c r="H8" s="38" t="n">
        <f aca="false">COUNTIFS('Output Data'!$O$9:$O$109,7,'Output Data'!$A$9:$A$109,$A8)</f>
        <v>0</v>
      </c>
      <c r="I8" s="38" t="n">
        <f aca="false">COUNTIFS('Output Data'!$O$9:$O$109,8,'Output Data'!$A$9:$A$109,$A8)</f>
        <v>0</v>
      </c>
      <c r="J8" s="38" t="n">
        <f aca="false">COUNTIFS('Output Data'!$O$9:$O$109,9,'Output Data'!$A$9:$A$109,$A8)</f>
        <v>0</v>
      </c>
      <c r="K8" s="38" t="n">
        <f aca="false">COUNTIFS('Output Data'!$O$9:$O$109,10,'Output Data'!$A$9:$A$109,$A8)</f>
        <v>0</v>
      </c>
      <c r="L8" s="38" t="n">
        <f aca="false">COUNTIFS('Output Data'!$O$9:$O$109,11,'Output Data'!$A$9:$A$109,$A8)</f>
        <v>0</v>
      </c>
      <c r="M8" s="38" t="n">
        <f aca="false">COUNTIFS('Output Data'!$O$9:$O$109,12,'Output Data'!$A$9:$A$109,$A8)</f>
        <v>0</v>
      </c>
      <c r="N8" s="38" t="n">
        <f aca="false">SUM(B8:M8)</f>
        <v>0</v>
      </c>
    </row>
    <row r="9" customFormat="false" ht="15" hidden="false" customHeight="false" outlineLevel="0" collapsed="false">
      <c r="A9" s="45" t="s">
        <v>239</v>
      </c>
      <c r="B9" s="38" t="n">
        <f aca="false">COUNTIFS('Output Data'!$O$9:$O$109,1,'Output Data'!$A$9:$A$109,$A9)</f>
        <v>0</v>
      </c>
      <c r="C9" s="38" t="n">
        <f aca="false">COUNTIFS('Output Data'!$O$9:$O$109,2,'Output Data'!$A$9:$A$109,$A9)</f>
        <v>0</v>
      </c>
      <c r="D9" s="38" t="n">
        <f aca="false">COUNTIFS('Output Data'!$O$9:$O$109,3,'Output Data'!$A$9:$A$109,$A9)</f>
        <v>0</v>
      </c>
      <c r="E9" s="38" t="n">
        <f aca="false">COUNTIFS('Output Data'!$O$9:$O$109,4,'Output Data'!$A$9:$A$109,$A9)</f>
        <v>0</v>
      </c>
      <c r="F9" s="38" t="n">
        <f aca="false">COUNTIFS('Output Data'!$O$9:$O$109,5,'Output Data'!$A$9:$A$109,$A9)</f>
        <v>0</v>
      </c>
      <c r="G9" s="38" t="n">
        <f aca="false">COUNTIFS('Output Data'!$O$9:$O$109,6,'Output Data'!$A$9:$A$109,$A9)</f>
        <v>0</v>
      </c>
      <c r="H9" s="38" t="n">
        <f aca="false">COUNTIFS('Output Data'!$O$9:$O$109,7,'Output Data'!$A$9:$A$109,$A9)</f>
        <v>0</v>
      </c>
      <c r="I9" s="38" t="n">
        <f aca="false">COUNTIFS('Output Data'!$O$9:$O$109,8,'Output Data'!$A$9:$A$109,$A9)</f>
        <v>0</v>
      </c>
      <c r="J9" s="38" t="n">
        <f aca="false">COUNTIFS('Output Data'!$O$9:$O$109,9,'Output Data'!$A$9:$A$109,$A9)</f>
        <v>0</v>
      </c>
      <c r="K9" s="38" t="n">
        <f aca="false">COUNTIFS('Output Data'!$O$9:$O$109,10,'Output Data'!$A$9:$A$109,$A9)</f>
        <v>0</v>
      </c>
      <c r="L9" s="38" t="n">
        <f aca="false">COUNTIFS('Output Data'!$O$9:$O$109,11,'Output Data'!$A$9:$A$109,$A9)</f>
        <v>0</v>
      </c>
      <c r="M9" s="38" t="n">
        <f aca="false">COUNTIFS('Output Data'!$O$9:$O$109,12,'Output Data'!$A$9:$A$109,$A9)</f>
        <v>0</v>
      </c>
      <c r="N9" s="38" t="n">
        <f aca="false">SUM(B9:M9)</f>
        <v>0</v>
      </c>
    </row>
    <row r="10" customFormat="false" ht="15" hidden="false" customHeight="false" outlineLevel="0" collapsed="false">
      <c r="A10" s="45" t="s">
        <v>240</v>
      </c>
      <c r="B10" s="38" t="n">
        <f aca="false">COUNTIFS('Output Data'!$O$9:$O$109,1,'Output Data'!$A$9:$A$109,$A10)</f>
        <v>0</v>
      </c>
      <c r="C10" s="38" t="n">
        <f aca="false">COUNTIFS('Output Data'!$O$9:$O$109,2,'Output Data'!$A$9:$A$109,$A10)</f>
        <v>0</v>
      </c>
      <c r="D10" s="38" t="n">
        <f aca="false">COUNTIFS('Output Data'!$O$9:$O$109,3,'Output Data'!$A$9:$A$109,$A10)</f>
        <v>0</v>
      </c>
      <c r="E10" s="38" t="n">
        <f aca="false">COUNTIFS('Output Data'!$O$9:$O$109,4,'Output Data'!$A$9:$A$109,$A10)</f>
        <v>0</v>
      </c>
      <c r="F10" s="38" t="n">
        <f aca="false">COUNTIFS('Output Data'!$O$9:$O$109,5,'Output Data'!$A$9:$A$109,$A10)</f>
        <v>0</v>
      </c>
      <c r="G10" s="38" t="n">
        <f aca="false">COUNTIFS('Output Data'!$O$9:$O$109,6,'Output Data'!$A$9:$A$109,$A10)</f>
        <v>0</v>
      </c>
      <c r="H10" s="38" t="n">
        <f aca="false">COUNTIFS('Output Data'!$O$9:$O$109,7,'Output Data'!$A$9:$A$109,$A10)</f>
        <v>0</v>
      </c>
      <c r="I10" s="38" t="n">
        <f aca="false">COUNTIFS('Output Data'!$O$9:$O$109,8,'Output Data'!$A$9:$A$109,$A10)</f>
        <v>0</v>
      </c>
      <c r="J10" s="38" t="n">
        <f aca="false">COUNTIFS('Output Data'!$O$9:$O$109,9,'Output Data'!$A$9:$A$109,$A10)</f>
        <v>0</v>
      </c>
      <c r="K10" s="38" t="n">
        <f aca="false">COUNTIFS('Output Data'!$O$9:$O$109,10,'Output Data'!$A$9:$A$109,$A10)</f>
        <v>0</v>
      </c>
      <c r="L10" s="38" t="n">
        <f aca="false">COUNTIFS('Output Data'!$O$9:$O$109,11,'Output Data'!$A$9:$A$109,$A10)</f>
        <v>0</v>
      </c>
      <c r="M10" s="38" t="n">
        <f aca="false">COUNTIFS('Output Data'!$O$9:$O$109,12,'Output Data'!$A$9:$A$109,$A10)</f>
        <v>0</v>
      </c>
      <c r="N10" s="38" t="n">
        <f aca="false">SUM(B10:M10)</f>
        <v>0</v>
      </c>
    </row>
    <row r="11" customFormat="false" ht="15" hidden="false" customHeight="false" outlineLevel="0" collapsed="false">
      <c r="A11" s="45" t="s">
        <v>241</v>
      </c>
      <c r="B11" s="38" t="n">
        <f aca="false">COUNTIFS('Output Data'!$O$9:$O$109,1,'Output Data'!$A$9:$A$109,$A11)</f>
        <v>0</v>
      </c>
      <c r="C11" s="38" t="n">
        <f aca="false">COUNTIFS('Output Data'!$O$9:$O$109,2,'Output Data'!$A$9:$A$109,$A11)</f>
        <v>0</v>
      </c>
      <c r="D11" s="38" t="n">
        <f aca="false">COUNTIFS('Output Data'!$O$9:$O$109,3,'Output Data'!$A$9:$A$109,$A11)</f>
        <v>0</v>
      </c>
      <c r="E11" s="38" t="n">
        <f aca="false">COUNTIFS('Output Data'!$O$9:$O$109,4,'Output Data'!$A$9:$A$109,$A11)</f>
        <v>0</v>
      </c>
      <c r="F11" s="38" t="n">
        <f aca="false">COUNTIFS('Output Data'!$O$9:$O$109,5,'Output Data'!$A$9:$A$109,$A11)</f>
        <v>0</v>
      </c>
      <c r="G11" s="38" t="n">
        <f aca="false">COUNTIFS('Output Data'!$O$9:$O$109,6,'Output Data'!$A$9:$A$109,$A11)</f>
        <v>0</v>
      </c>
      <c r="H11" s="38" t="n">
        <f aca="false">COUNTIFS('Output Data'!$O$9:$O$109,7,'Output Data'!$A$9:$A$109,$A11)</f>
        <v>0</v>
      </c>
      <c r="I11" s="38" t="n">
        <f aca="false">COUNTIFS('Output Data'!$O$9:$O$109,8,'Output Data'!$A$9:$A$109,$A11)</f>
        <v>0</v>
      </c>
      <c r="J11" s="38" t="n">
        <f aca="false">COUNTIFS('Output Data'!$O$9:$O$109,9,'Output Data'!$A$9:$A$109,$A11)</f>
        <v>0</v>
      </c>
      <c r="K11" s="38" t="n">
        <f aca="false">COUNTIFS('Output Data'!$O$9:$O$109,10,'Output Data'!$A$9:$A$109,$A11)</f>
        <v>0</v>
      </c>
      <c r="L11" s="38" t="n">
        <f aca="false">COUNTIFS('Output Data'!$O$9:$O$109,11,'Output Data'!$A$9:$A$109,$A11)</f>
        <v>0</v>
      </c>
      <c r="M11" s="38" t="n">
        <f aca="false">COUNTIFS('Output Data'!$O$9:$O$109,12,'Output Data'!$A$9:$A$109,$A11)</f>
        <v>0</v>
      </c>
      <c r="N11" s="38" t="n">
        <f aca="false">SUM(B11:M11)</f>
        <v>0</v>
      </c>
    </row>
    <row r="12" customFormat="false" ht="15" hidden="false" customHeight="false" outlineLevel="0" collapsed="false">
      <c r="A12" s="45" t="s">
        <v>242</v>
      </c>
      <c r="B12" s="38" t="n">
        <f aca="false">COUNTIFS('Output Data'!$O$9:$O$109,1,'Output Data'!$A$9:$A$109,$A12)</f>
        <v>0</v>
      </c>
      <c r="C12" s="38" t="n">
        <f aca="false">COUNTIFS('Output Data'!$O$9:$O$109,2,'Output Data'!$A$9:$A$109,$A12)</f>
        <v>0</v>
      </c>
      <c r="D12" s="38" t="n">
        <f aca="false">COUNTIFS('Output Data'!$O$9:$O$109,3,'Output Data'!$A$9:$A$109,$A12)</f>
        <v>0</v>
      </c>
      <c r="E12" s="38" t="n">
        <f aca="false">COUNTIFS('Output Data'!$O$9:$O$109,4,'Output Data'!$A$9:$A$109,$A12)</f>
        <v>0</v>
      </c>
      <c r="F12" s="38" t="n">
        <f aca="false">COUNTIFS('Output Data'!$O$9:$O$109,5,'Output Data'!$A$9:$A$109,$A12)</f>
        <v>0</v>
      </c>
      <c r="G12" s="38" t="n">
        <f aca="false">COUNTIFS('Output Data'!$O$9:$O$109,6,'Output Data'!$A$9:$A$109,$A12)</f>
        <v>0</v>
      </c>
      <c r="H12" s="38" t="n">
        <f aca="false">COUNTIFS('Output Data'!$O$9:$O$109,7,'Output Data'!$A$9:$A$109,$A12)</f>
        <v>0</v>
      </c>
      <c r="I12" s="38" t="n">
        <f aca="false">COUNTIFS('Output Data'!$O$9:$O$109,8,'Output Data'!$A$9:$A$109,$A12)</f>
        <v>0</v>
      </c>
      <c r="J12" s="38" t="n">
        <f aca="false">COUNTIFS('Output Data'!$O$9:$O$109,9,'Output Data'!$A$9:$A$109,$A12)</f>
        <v>0</v>
      </c>
      <c r="K12" s="38" t="n">
        <f aca="false">COUNTIFS('Output Data'!$O$9:$O$109,10,'Output Data'!$A$9:$A$109,$A12)</f>
        <v>0</v>
      </c>
      <c r="L12" s="38" t="n">
        <f aca="false">COUNTIFS('Output Data'!$O$9:$O$109,11,'Output Data'!$A$9:$A$109,$A12)</f>
        <v>0</v>
      </c>
      <c r="M12" s="38" t="n">
        <f aca="false">COUNTIFS('Output Data'!$O$9:$O$109,12,'Output Data'!$A$9:$A$109,$A12)</f>
        <v>0</v>
      </c>
      <c r="N12" s="38" t="n">
        <f aca="false">SUM(B12:M12)</f>
        <v>0</v>
      </c>
    </row>
    <row r="13" customFormat="false" ht="15" hidden="false" customHeight="false" outlineLevel="0" collapsed="false">
      <c r="A13" s="45" t="s">
        <v>243</v>
      </c>
      <c r="B13" s="38" t="n">
        <f aca="false">COUNTIFS('Output Data'!$O$9:$O$109,1,'Output Data'!$A$9:$A$109,$A13)</f>
        <v>0</v>
      </c>
      <c r="C13" s="38" t="n">
        <f aca="false">COUNTIFS('Output Data'!$O$9:$O$109,2,'Output Data'!$A$9:$A$109,$A13)</f>
        <v>0</v>
      </c>
      <c r="D13" s="38" t="n">
        <f aca="false">COUNTIFS('Output Data'!$O$9:$O$109,3,'Output Data'!$A$9:$A$109,$A13)</f>
        <v>0</v>
      </c>
      <c r="E13" s="38" t="n">
        <f aca="false">COUNTIFS('Output Data'!$O$9:$O$109,4,'Output Data'!$A$9:$A$109,$A13)</f>
        <v>0</v>
      </c>
      <c r="F13" s="38" t="n">
        <f aca="false">COUNTIFS('Output Data'!$O$9:$O$109,5,'Output Data'!$A$9:$A$109,$A13)</f>
        <v>0</v>
      </c>
      <c r="G13" s="38" t="n">
        <f aca="false">COUNTIFS('Output Data'!$O$9:$O$109,6,'Output Data'!$A$9:$A$109,$A13)</f>
        <v>0</v>
      </c>
      <c r="H13" s="38" t="n">
        <f aca="false">COUNTIFS('Output Data'!$O$9:$O$109,7,'Output Data'!$A$9:$A$109,$A13)</f>
        <v>0</v>
      </c>
      <c r="I13" s="38" t="n">
        <f aca="false">COUNTIFS('Output Data'!$O$9:$O$109,8,'Output Data'!$A$9:$A$109,$A13)</f>
        <v>0</v>
      </c>
      <c r="J13" s="38" t="n">
        <f aca="false">COUNTIFS('Output Data'!$O$9:$O$109,9,'Output Data'!$A$9:$A$109,$A13)</f>
        <v>0</v>
      </c>
      <c r="K13" s="38" t="n">
        <f aca="false">COUNTIFS('Output Data'!$O$9:$O$109,10,'Output Data'!$A$9:$A$109,$A13)</f>
        <v>0</v>
      </c>
      <c r="L13" s="38" t="n">
        <f aca="false">COUNTIFS('Output Data'!$O$9:$O$109,11,'Output Data'!$A$9:$A$109,$A13)</f>
        <v>0</v>
      </c>
      <c r="M13" s="38" t="n">
        <f aca="false">COUNTIFS('Output Data'!$O$9:$O$109,12,'Output Data'!$A$9:$A$109,$A13)</f>
        <v>0</v>
      </c>
      <c r="N13" s="38" t="n">
        <f aca="false">SUM(B13:M13)</f>
        <v>0</v>
      </c>
    </row>
    <row r="14" customFormat="false" ht="15" hidden="false" customHeight="false" outlineLevel="0" collapsed="false">
      <c r="A14" s="45" t="s">
        <v>244</v>
      </c>
      <c r="B14" s="38" t="n">
        <f aca="false">COUNTIFS('Output Data'!$O$9:$O$109,1,'Output Data'!$A$9:$A$109,$A14)</f>
        <v>0</v>
      </c>
      <c r="C14" s="38" t="n">
        <f aca="false">COUNTIFS('Output Data'!$O$9:$O$109,2,'Output Data'!$A$9:$A$109,$A14)</f>
        <v>0</v>
      </c>
      <c r="D14" s="38" t="n">
        <f aca="false">COUNTIFS('Output Data'!$O$9:$O$109,3,'Output Data'!$A$9:$A$109,$A14)</f>
        <v>0</v>
      </c>
      <c r="E14" s="38" t="n">
        <f aca="false">COUNTIFS('Output Data'!$O$9:$O$109,4,'Output Data'!$A$9:$A$109,$A14)</f>
        <v>0</v>
      </c>
      <c r="F14" s="38" t="n">
        <f aca="false">COUNTIFS('Output Data'!$O$9:$O$109,5,'Output Data'!$A$9:$A$109,$A14)</f>
        <v>0</v>
      </c>
      <c r="G14" s="38" t="n">
        <f aca="false">COUNTIFS('Output Data'!$O$9:$O$109,6,'Output Data'!$A$9:$A$109,$A14)</f>
        <v>0</v>
      </c>
      <c r="H14" s="38" t="n">
        <f aca="false">COUNTIFS('Output Data'!$O$9:$O$109,7,'Output Data'!$A$9:$A$109,$A14)</f>
        <v>0</v>
      </c>
      <c r="I14" s="38" t="n">
        <f aca="false">COUNTIFS('Output Data'!$O$9:$O$109,8,'Output Data'!$A$9:$A$109,$A14)</f>
        <v>0</v>
      </c>
      <c r="J14" s="38" t="n">
        <f aca="false">COUNTIFS('Output Data'!$O$9:$O$109,9,'Output Data'!$A$9:$A$109,$A14)</f>
        <v>0</v>
      </c>
      <c r="K14" s="38" t="n">
        <f aca="false">COUNTIFS('Output Data'!$O$9:$O$109,10,'Output Data'!$A$9:$A$109,$A14)</f>
        <v>0</v>
      </c>
      <c r="L14" s="38" t="n">
        <f aca="false">COUNTIFS('Output Data'!$O$9:$O$109,11,'Output Data'!$A$9:$A$109,$A14)</f>
        <v>0</v>
      </c>
      <c r="M14" s="38" t="n">
        <f aca="false">COUNTIFS('Output Data'!$O$9:$O$109,12,'Output Data'!$A$9:$A$109,$A14)</f>
        <v>0</v>
      </c>
      <c r="N14" s="38" t="n">
        <f aca="false">SUM(B14:M14)</f>
        <v>0</v>
      </c>
    </row>
    <row r="15" customFormat="false" ht="15" hidden="false" customHeight="false" outlineLevel="0" collapsed="false">
      <c r="A15" s="45" t="s">
        <v>245</v>
      </c>
      <c r="B15" s="38" t="n">
        <f aca="false">COUNTIFS('Output Data'!$O$9:$O$109,1,'Output Data'!$A$9:$A$109,$A15)</f>
        <v>0</v>
      </c>
      <c r="C15" s="38" t="n">
        <f aca="false">COUNTIFS('Output Data'!$O$9:$O$109,2,'Output Data'!$A$9:$A$109,$A15)</f>
        <v>0</v>
      </c>
      <c r="D15" s="38" t="n">
        <f aca="false">COUNTIFS('Output Data'!$O$9:$O$109,3,'Output Data'!$A$9:$A$109,$A15)</f>
        <v>0</v>
      </c>
      <c r="E15" s="38" t="n">
        <f aca="false">COUNTIFS('Output Data'!$O$9:$O$109,4,'Output Data'!$A$9:$A$109,$A15)</f>
        <v>0</v>
      </c>
      <c r="F15" s="38" t="n">
        <f aca="false">COUNTIFS('Output Data'!$O$9:$O$109,5,'Output Data'!$A$9:$A$109,$A15)</f>
        <v>0</v>
      </c>
      <c r="G15" s="38" t="n">
        <f aca="false">COUNTIFS('Output Data'!$O$9:$O$109,6,'Output Data'!$A$9:$A$109,$A15)</f>
        <v>0</v>
      </c>
      <c r="H15" s="38" t="n">
        <f aca="false">COUNTIFS('Output Data'!$O$9:$O$109,7,'Output Data'!$A$9:$A$109,$A15)</f>
        <v>0</v>
      </c>
      <c r="I15" s="38" t="n">
        <f aca="false">COUNTIFS('Output Data'!$O$9:$O$109,8,'Output Data'!$A$9:$A$109,$A15)</f>
        <v>0</v>
      </c>
      <c r="J15" s="38" t="n">
        <f aca="false">COUNTIFS('Output Data'!$O$9:$O$109,9,'Output Data'!$A$9:$A$109,$A15)</f>
        <v>0</v>
      </c>
      <c r="K15" s="38" t="n">
        <f aca="false">COUNTIFS('Output Data'!$O$9:$O$109,10,'Output Data'!$A$9:$A$109,$A15)</f>
        <v>0</v>
      </c>
      <c r="L15" s="38" t="n">
        <f aca="false">COUNTIFS('Output Data'!$O$9:$O$109,11,'Output Data'!$A$9:$A$109,$A15)</f>
        <v>0</v>
      </c>
      <c r="M15" s="38" t="n">
        <f aca="false">COUNTIFS('Output Data'!$O$9:$O$109,12,'Output Data'!$A$9:$A$109,$A15)</f>
        <v>0</v>
      </c>
      <c r="N15" s="38" t="n">
        <f aca="false">SUM(B15:M15)</f>
        <v>0</v>
      </c>
    </row>
    <row r="16" customFormat="false" ht="15" hidden="false" customHeight="false" outlineLevel="0" collapsed="false">
      <c r="A16" s="45" t="s">
        <v>246</v>
      </c>
      <c r="B16" s="38" t="n">
        <f aca="false">COUNTIFS('Output Data'!$O$9:$O$109,1,'Output Data'!$A$9:$A$109,$A16)</f>
        <v>0</v>
      </c>
      <c r="C16" s="38" t="n">
        <f aca="false">COUNTIFS('Output Data'!$O$9:$O$109,2,'Output Data'!$A$9:$A$109,$A16)</f>
        <v>0</v>
      </c>
      <c r="D16" s="38" t="n">
        <f aca="false">COUNTIFS('Output Data'!$O$9:$O$109,3,'Output Data'!$A$9:$A$109,$A16)</f>
        <v>0</v>
      </c>
      <c r="E16" s="38" t="n">
        <f aca="false">COUNTIFS('Output Data'!$O$9:$O$109,4,'Output Data'!$A$9:$A$109,$A16)</f>
        <v>0</v>
      </c>
      <c r="F16" s="38" t="n">
        <f aca="false">COUNTIFS('Output Data'!$O$9:$O$109,5,'Output Data'!$A$9:$A$109,$A16)</f>
        <v>0</v>
      </c>
      <c r="G16" s="38" t="n">
        <f aca="false">COUNTIFS('Output Data'!$O$9:$O$109,6,'Output Data'!$A$9:$A$109,$A16)</f>
        <v>0</v>
      </c>
      <c r="H16" s="38" t="n">
        <f aca="false">COUNTIFS('Output Data'!$O$9:$O$109,7,'Output Data'!$A$9:$A$109,$A16)</f>
        <v>0</v>
      </c>
      <c r="I16" s="38" t="n">
        <f aca="false">COUNTIFS('Output Data'!$O$9:$O$109,8,'Output Data'!$A$9:$A$109,$A16)</f>
        <v>0</v>
      </c>
      <c r="J16" s="38" t="n">
        <f aca="false">COUNTIFS('Output Data'!$O$9:$O$109,9,'Output Data'!$A$9:$A$109,$A16)</f>
        <v>0</v>
      </c>
      <c r="K16" s="38" t="n">
        <f aca="false">COUNTIFS('Output Data'!$O$9:$O$109,10,'Output Data'!$A$9:$A$109,$A16)</f>
        <v>0</v>
      </c>
      <c r="L16" s="38" t="n">
        <f aca="false">COUNTIFS('Output Data'!$O$9:$O$109,11,'Output Data'!$A$9:$A$109,$A16)</f>
        <v>0</v>
      </c>
      <c r="M16" s="38" t="n">
        <f aca="false">COUNTIFS('Output Data'!$O$9:$O$109,12,'Output Data'!$A$9:$A$109,$A16)</f>
        <v>0</v>
      </c>
      <c r="N16" s="38" t="n">
        <f aca="false">SUM(B16:M16)</f>
        <v>0</v>
      </c>
    </row>
    <row r="17" customFormat="false" ht="15" hidden="false" customHeight="false" outlineLevel="0" collapsed="false">
      <c r="A17" s="45" t="s">
        <v>247</v>
      </c>
      <c r="B17" s="38" t="n">
        <f aca="false">COUNTIFS('Output Data'!$O$9:$O$109,1,'Output Data'!$A$9:$A$109,$A17)</f>
        <v>0</v>
      </c>
      <c r="C17" s="38" t="n">
        <f aca="false">COUNTIFS('Output Data'!$O$9:$O$109,2,'Output Data'!$A$9:$A$109,$A17)</f>
        <v>0</v>
      </c>
      <c r="D17" s="38" t="n">
        <f aca="false">COUNTIFS('Output Data'!$O$9:$O$109,3,'Output Data'!$A$9:$A$109,$A17)</f>
        <v>0</v>
      </c>
      <c r="E17" s="38" t="n">
        <f aca="false">COUNTIFS('Output Data'!$O$9:$O$109,4,'Output Data'!$A$9:$A$109,$A17)</f>
        <v>0</v>
      </c>
      <c r="F17" s="38" t="n">
        <f aca="false">COUNTIFS('Output Data'!$O$9:$O$109,5,'Output Data'!$A$9:$A$109,$A17)</f>
        <v>0</v>
      </c>
      <c r="G17" s="38" t="n">
        <f aca="false">COUNTIFS('Output Data'!$O$9:$O$109,6,'Output Data'!$A$9:$A$109,$A17)</f>
        <v>0</v>
      </c>
      <c r="H17" s="38" t="n">
        <f aca="false">COUNTIFS('Output Data'!$O$9:$O$109,7,'Output Data'!$A$9:$A$109,$A17)</f>
        <v>0</v>
      </c>
      <c r="I17" s="38" t="n">
        <f aca="false">COUNTIFS('Output Data'!$O$9:$O$109,8,'Output Data'!$A$9:$A$109,$A17)</f>
        <v>0</v>
      </c>
      <c r="J17" s="38" t="n">
        <f aca="false">COUNTIFS('Output Data'!$O$9:$O$109,9,'Output Data'!$A$9:$A$109,$A17)</f>
        <v>0</v>
      </c>
      <c r="K17" s="38" t="n">
        <f aca="false">COUNTIFS('Output Data'!$O$9:$O$109,10,'Output Data'!$A$9:$A$109,$A17)</f>
        <v>0</v>
      </c>
      <c r="L17" s="38" t="n">
        <f aca="false">COUNTIFS('Output Data'!$O$9:$O$109,11,'Output Data'!$A$9:$A$109,$A17)</f>
        <v>0</v>
      </c>
      <c r="M17" s="38" t="n">
        <f aca="false">COUNTIFS('Output Data'!$O$9:$O$109,12,'Output Data'!$A$9:$A$109,$A17)</f>
        <v>0</v>
      </c>
      <c r="N17" s="38" t="n">
        <f aca="false">SUM(B17:M17)</f>
        <v>0</v>
      </c>
    </row>
    <row r="18" customFormat="false" ht="15" hidden="false" customHeight="false" outlineLevel="0" collapsed="false">
      <c r="A18" s="45" t="s">
        <v>248</v>
      </c>
      <c r="B18" s="38" t="n">
        <f aca="false">COUNTIFS('Output Data'!$O$9:$O$109,1,'Output Data'!$A$9:$A$109,$A18)</f>
        <v>0</v>
      </c>
      <c r="C18" s="38" t="n">
        <f aca="false">COUNTIFS('Output Data'!$O$9:$O$109,2,'Output Data'!$A$9:$A$109,$A18)</f>
        <v>0</v>
      </c>
      <c r="D18" s="38" t="n">
        <f aca="false">COUNTIFS('Output Data'!$O$9:$O$109,3,'Output Data'!$A$9:$A$109,$A18)</f>
        <v>0</v>
      </c>
      <c r="E18" s="38" t="n">
        <f aca="false">COUNTIFS('Output Data'!$O$9:$O$109,4,'Output Data'!$A$9:$A$109,$A18)</f>
        <v>0</v>
      </c>
      <c r="F18" s="38" t="n">
        <f aca="false">COUNTIFS('Output Data'!$O$9:$O$109,5,'Output Data'!$A$9:$A$109,$A18)</f>
        <v>0</v>
      </c>
      <c r="G18" s="38" t="n">
        <f aca="false">COUNTIFS('Output Data'!$O$9:$O$109,6,'Output Data'!$A$9:$A$109,$A18)</f>
        <v>0</v>
      </c>
      <c r="H18" s="38" t="n">
        <f aca="false">COUNTIFS('Output Data'!$O$9:$O$109,7,'Output Data'!$A$9:$A$109,$A18)</f>
        <v>0</v>
      </c>
      <c r="I18" s="38" t="n">
        <f aca="false">COUNTIFS('Output Data'!$O$9:$O$109,8,'Output Data'!$A$9:$A$109,$A18)</f>
        <v>0</v>
      </c>
      <c r="J18" s="38" t="n">
        <f aca="false">COUNTIFS('Output Data'!$O$9:$O$109,9,'Output Data'!$A$9:$A$109,$A18)</f>
        <v>0</v>
      </c>
      <c r="K18" s="38" t="n">
        <f aca="false">COUNTIFS('Output Data'!$O$9:$O$109,10,'Output Data'!$A$9:$A$109,$A18)</f>
        <v>0</v>
      </c>
      <c r="L18" s="38" t="n">
        <f aca="false">COUNTIFS('Output Data'!$O$9:$O$109,11,'Output Data'!$A$9:$A$109,$A18)</f>
        <v>0</v>
      </c>
      <c r="M18" s="38" t="n">
        <f aca="false">COUNTIFS('Output Data'!$O$9:$O$109,12,'Output Data'!$A$9:$A$109,$A18)</f>
        <v>0</v>
      </c>
      <c r="N18" s="38" t="n">
        <f aca="false">SUM(B18:M18)</f>
        <v>0</v>
      </c>
    </row>
    <row r="19" customFormat="false" ht="15" hidden="false" customHeight="false" outlineLevel="0" collapsed="false">
      <c r="A19" s="45" t="s">
        <v>249</v>
      </c>
      <c r="B19" s="38" t="n">
        <f aca="false">COUNTIFS('Output Data'!$O$9:$O$109,1,'Output Data'!$A$9:$A$109,$A19)</f>
        <v>0</v>
      </c>
      <c r="C19" s="38" t="n">
        <f aca="false">COUNTIFS('Output Data'!$O$9:$O$109,2,'Output Data'!$A$9:$A$109,$A19)</f>
        <v>0</v>
      </c>
      <c r="D19" s="38" t="n">
        <f aca="false">COUNTIFS('Output Data'!$O$9:$O$109,3,'Output Data'!$A$9:$A$109,$A19)</f>
        <v>0</v>
      </c>
      <c r="E19" s="38" t="n">
        <f aca="false">COUNTIFS('Output Data'!$O$9:$O$109,4,'Output Data'!$A$9:$A$109,$A19)</f>
        <v>0</v>
      </c>
      <c r="F19" s="38" t="n">
        <f aca="false">COUNTIFS('Output Data'!$O$9:$O$109,5,'Output Data'!$A$9:$A$109,$A19)</f>
        <v>0</v>
      </c>
      <c r="G19" s="38" t="n">
        <f aca="false">COUNTIFS('Output Data'!$O$9:$O$109,6,'Output Data'!$A$9:$A$109,$A19)</f>
        <v>0</v>
      </c>
      <c r="H19" s="38" t="n">
        <f aca="false">COUNTIFS('Output Data'!$O$9:$O$109,7,'Output Data'!$A$9:$A$109,$A19)</f>
        <v>0</v>
      </c>
      <c r="I19" s="38" t="n">
        <f aca="false">COUNTIFS('Output Data'!$O$9:$O$109,8,'Output Data'!$A$9:$A$109,$A19)</f>
        <v>0</v>
      </c>
      <c r="J19" s="38" t="n">
        <f aca="false">COUNTIFS('Output Data'!$O$9:$O$109,9,'Output Data'!$A$9:$A$109,$A19)</f>
        <v>0</v>
      </c>
      <c r="K19" s="38" t="n">
        <f aca="false">COUNTIFS('Output Data'!$O$9:$O$109,10,'Output Data'!$A$9:$A$109,$A19)</f>
        <v>0</v>
      </c>
      <c r="L19" s="38" t="n">
        <f aca="false">COUNTIFS('Output Data'!$O$9:$O$109,11,'Output Data'!$A$9:$A$109,$A19)</f>
        <v>0</v>
      </c>
      <c r="M19" s="38" t="n">
        <f aca="false">COUNTIFS('Output Data'!$O$9:$O$109,12,'Output Data'!$A$9:$A$109,$A19)</f>
        <v>0</v>
      </c>
      <c r="N19" s="38" t="n">
        <f aca="false">SUM(B19:M19)</f>
        <v>0</v>
      </c>
    </row>
    <row r="20" customFormat="false" ht="15" hidden="false" customHeight="false" outlineLevel="0" collapsed="false">
      <c r="A20" s="45" t="s">
        <v>250</v>
      </c>
      <c r="B20" s="38" t="n">
        <f aca="false">COUNTIFS('Output Data'!$O$9:$O$109,1,'Output Data'!$A$9:$A$109,$A20)</f>
        <v>0</v>
      </c>
      <c r="C20" s="38" t="n">
        <f aca="false">COUNTIFS('Output Data'!$O$9:$O$109,2,'Output Data'!$A$9:$A$109,$A20)</f>
        <v>0</v>
      </c>
      <c r="D20" s="38" t="n">
        <f aca="false">COUNTIFS('Output Data'!$O$9:$O$109,3,'Output Data'!$A$9:$A$109,$A20)</f>
        <v>0</v>
      </c>
      <c r="E20" s="38" t="n">
        <f aca="false">COUNTIFS('Output Data'!$O$9:$O$109,4,'Output Data'!$A$9:$A$109,$A20)</f>
        <v>0</v>
      </c>
      <c r="F20" s="38" t="n">
        <f aca="false">COUNTIFS('Output Data'!$O$9:$O$109,5,'Output Data'!$A$9:$A$109,$A20)</f>
        <v>0</v>
      </c>
      <c r="G20" s="38" t="n">
        <f aca="false">COUNTIFS('Output Data'!$O$9:$O$109,6,'Output Data'!$A$9:$A$109,$A20)</f>
        <v>0</v>
      </c>
      <c r="H20" s="38" t="n">
        <f aca="false">COUNTIFS('Output Data'!$O$9:$O$109,7,'Output Data'!$A$9:$A$109,$A20)</f>
        <v>0</v>
      </c>
      <c r="I20" s="38" t="n">
        <f aca="false">COUNTIFS('Output Data'!$O$9:$O$109,8,'Output Data'!$A$9:$A$109,$A20)</f>
        <v>0</v>
      </c>
      <c r="J20" s="38" t="n">
        <f aca="false">COUNTIFS('Output Data'!$O$9:$O$109,9,'Output Data'!$A$9:$A$109,$A20)</f>
        <v>0</v>
      </c>
      <c r="K20" s="38" t="n">
        <f aca="false">COUNTIFS('Output Data'!$O$9:$O$109,10,'Output Data'!$A$9:$A$109,$A20)</f>
        <v>0</v>
      </c>
      <c r="L20" s="38" t="n">
        <f aca="false">COUNTIFS('Output Data'!$O$9:$O$109,11,'Output Data'!$A$9:$A$109,$A20)</f>
        <v>0</v>
      </c>
      <c r="M20" s="38" t="n">
        <f aca="false">COUNTIFS('Output Data'!$O$9:$O$109,12,'Output Data'!$A$9:$A$109,$A20)</f>
        <v>0</v>
      </c>
      <c r="N20" s="38" t="n">
        <f aca="false">SUM(B20:M20)</f>
        <v>0</v>
      </c>
    </row>
    <row r="21" customFormat="false" ht="15" hidden="false" customHeight="false" outlineLevel="0" collapsed="false">
      <c r="A21" s="45" t="s">
        <v>251</v>
      </c>
      <c r="B21" s="38" t="n">
        <f aca="false">COUNTIFS('Output Data'!$O$9:$O$109,1,'Output Data'!$A$9:$A$109,$A21)</f>
        <v>0</v>
      </c>
      <c r="C21" s="38" t="n">
        <f aca="false">COUNTIFS('Output Data'!$O$9:$O$109,2,'Output Data'!$A$9:$A$109,$A21)</f>
        <v>0</v>
      </c>
      <c r="D21" s="38" t="n">
        <f aca="false">COUNTIFS('Output Data'!$O$9:$O$109,3,'Output Data'!$A$9:$A$109,$A21)</f>
        <v>0</v>
      </c>
      <c r="E21" s="38" t="n">
        <f aca="false">COUNTIFS('Output Data'!$O$9:$O$109,4,'Output Data'!$A$9:$A$109,$A21)</f>
        <v>0</v>
      </c>
      <c r="F21" s="38" t="n">
        <f aca="false">COUNTIFS('Output Data'!$O$9:$O$109,5,'Output Data'!$A$9:$A$109,$A21)</f>
        <v>0</v>
      </c>
      <c r="G21" s="38" t="n">
        <f aca="false">COUNTIFS('Output Data'!$O$9:$O$109,6,'Output Data'!$A$9:$A$109,$A21)</f>
        <v>0</v>
      </c>
      <c r="H21" s="38" t="n">
        <f aca="false">COUNTIFS('Output Data'!$O$9:$O$109,7,'Output Data'!$A$9:$A$109,$A21)</f>
        <v>0</v>
      </c>
      <c r="I21" s="38" t="n">
        <f aca="false">COUNTIFS('Output Data'!$O$9:$O$109,8,'Output Data'!$A$9:$A$109,$A21)</f>
        <v>0</v>
      </c>
      <c r="J21" s="38" t="n">
        <f aca="false">COUNTIFS('Output Data'!$O$9:$O$109,9,'Output Data'!$A$9:$A$109,$A21)</f>
        <v>0</v>
      </c>
      <c r="K21" s="38" t="n">
        <f aca="false">COUNTIFS('Output Data'!$O$9:$O$109,10,'Output Data'!$A$9:$A$109,$A21)</f>
        <v>0</v>
      </c>
      <c r="L21" s="38" t="n">
        <f aca="false">COUNTIFS('Output Data'!$O$9:$O$109,11,'Output Data'!$A$9:$A$109,$A21)</f>
        <v>0</v>
      </c>
      <c r="M21" s="38" t="n">
        <f aca="false">COUNTIFS('Output Data'!$O$9:$O$109,12,'Output Data'!$A$9:$A$109,$A21)</f>
        <v>0</v>
      </c>
      <c r="N21" s="38" t="n">
        <f aca="false">SUM(B21:M21)</f>
        <v>0</v>
      </c>
    </row>
    <row r="22" customFormat="false" ht="15" hidden="false" customHeight="false" outlineLevel="0" collapsed="false">
      <c r="A22" s="45" t="s">
        <v>252</v>
      </c>
      <c r="B22" s="38" t="n">
        <f aca="false">COUNTIFS('Output Data'!$O$9:$O$109,1,'Output Data'!$A$9:$A$109,$A22)</f>
        <v>0</v>
      </c>
      <c r="C22" s="38" t="n">
        <f aca="false">COUNTIFS('Output Data'!$O$9:$O$109,2,'Output Data'!$A$9:$A$109,$A22)</f>
        <v>0</v>
      </c>
      <c r="D22" s="38" t="n">
        <f aca="false">COUNTIFS('Output Data'!$O$9:$O$109,3,'Output Data'!$A$9:$A$109,$A22)</f>
        <v>0</v>
      </c>
      <c r="E22" s="38" t="n">
        <f aca="false">COUNTIFS('Output Data'!$O$9:$O$109,4,'Output Data'!$A$9:$A$109,$A22)</f>
        <v>0</v>
      </c>
      <c r="F22" s="38" t="n">
        <f aca="false">COUNTIFS('Output Data'!$O$9:$O$109,5,'Output Data'!$A$9:$A$109,$A22)</f>
        <v>0</v>
      </c>
      <c r="G22" s="38" t="n">
        <f aca="false">COUNTIFS('Output Data'!$O$9:$O$109,6,'Output Data'!$A$9:$A$109,$A22)</f>
        <v>0</v>
      </c>
      <c r="H22" s="38" t="n">
        <f aca="false">COUNTIFS('Output Data'!$O$9:$O$109,7,'Output Data'!$A$9:$A$109,$A22)</f>
        <v>0</v>
      </c>
      <c r="I22" s="38" t="n">
        <f aca="false">COUNTIFS('Output Data'!$O$9:$O$109,8,'Output Data'!$A$9:$A$109,$A22)</f>
        <v>0</v>
      </c>
      <c r="J22" s="38" t="n">
        <f aca="false">COUNTIFS('Output Data'!$O$9:$O$109,9,'Output Data'!$A$9:$A$109,$A22)</f>
        <v>0</v>
      </c>
      <c r="K22" s="38" t="n">
        <f aca="false">COUNTIFS('Output Data'!$O$9:$O$109,10,'Output Data'!$A$9:$A$109,$A22)</f>
        <v>0</v>
      </c>
      <c r="L22" s="38" t="n">
        <f aca="false">COUNTIFS('Output Data'!$O$9:$O$109,11,'Output Data'!$A$9:$A$109,$A22)</f>
        <v>0</v>
      </c>
      <c r="M22" s="38" t="n">
        <f aca="false">COUNTIFS('Output Data'!$O$9:$O$109,12,'Output Data'!$A$9:$A$109,$A22)</f>
        <v>0</v>
      </c>
      <c r="N22" s="38" t="n">
        <f aca="false">SUM(B22:M22)</f>
        <v>0</v>
      </c>
    </row>
    <row r="23" customFormat="false" ht="15" hidden="false" customHeight="false" outlineLevel="0" collapsed="false">
      <c r="A23" s="45" t="s">
        <v>253</v>
      </c>
      <c r="B23" s="38" t="n">
        <f aca="false">COUNTIFS('Output Data'!$O$9:$O$109,1,'Output Data'!$A$9:$A$109,$A23)</f>
        <v>0</v>
      </c>
      <c r="C23" s="38" t="n">
        <f aca="false">COUNTIFS('Output Data'!$O$9:$O$109,2,'Output Data'!$A$9:$A$109,$A23)</f>
        <v>0</v>
      </c>
      <c r="D23" s="38" t="n">
        <f aca="false">COUNTIFS('Output Data'!$O$9:$O$109,3,'Output Data'!$A$9:$A$109,$A23)</f>
        <v>0</v>
      </c>
      <c r="E23" s="38" t="n">
        <f aca="false">COUNTIFS('Output Data'!$O$9:$O$109,4,'Output Data'!$A$9:$A$109,$A23)</f>
        <v>0</v>
      </c>
      <c r="F23" s="38" t="n">
        <f aca="false">COUNTIFS('Output Data'!$O$9:$O$109,5,'Output Data'!$A$9:$A$109,$A23)</f>
        <v>0</v>
      </c>
      <c r="G23" s="38" t="n">
        <f aca="false">COUNTIFS('Output Data'!$O$9:$O$109,6,'Output Data'!$A$9:$A$109,$A23)</f>
        <v>0</v>
      </c>
      <c r="H23" s="38" t="n">
        <f aca="false">COUNTIFS('Output Data'!$O$9:$O$109,7,'Output Data'!$A$9:$A$109,$A23)</f>
        <v>0</v>
      </c>
      <c r="I23" s="38" t="n">
        <f aca="false">COUNTIFS('Output Data'!$O$9:$O$109,8,'Output Data'!$A$9:$A$109,$A23)</f>
        <v>0</v>
      </c>
      <c r="J23" s="38" t="n">
        <f aca="false">COUNTIFS('Output Data'!$O$9:$O$109,9,'Output Data'!$A$9:$A$109,$A23)</f>
        <v>0</v>
      </c>
      <c r="K23" s="38" t="n">
        <f aca="false">COUNTIFS('Output Data'!$O$9:$O$109,10,'Output Data'!$A$9:$A$109,$A23)</f>
        <v>0</v>
      </c>
      <c r="L23" s="38" t="n">
        <f aca="false">COUNTIFS('Output Data'!$O$9:$O$109,11,'Output Data'!$A$9:$A$109,$A23)</f>
        <v>0</v>
      </c>
      <c r="M23" s="38" t="n">
        <f aca="false">COUNTIFS('Output Data'!$O$9:$O$109,12,'Output Data'!$A$9:$A$109,$A23)</f>
        <v>0</v>
      </c>
      <c r="N23" s="38" t="n">
        <f aca="false">SUM(B23:M23)</f>
        <v>0</v>
      </c>
    </row>
    <row r="24" customFormat="false" ht="15" hidden="false" customHeight="false" outlineLevel="0" collapsed="false">
      <c r="A24" s="45" t="s">
        <v>254</v>
      </c>
      <c r="B24" s="38" t="n">
        <f aca="false">COUNTIFS('Output Data'!$O$9:$O$109,1,'Output Data'!$A$9:$A$109,$A24)</f>
        <v>0</v>
      </c>
      <c r="C24" s="38" t="n">
        <f aca="false">COUNTIFS('Output Data'!$O$9:$O$109,2,'Output Data'!$A$9:$A$109,$A24)</f>
        <v>0</v>
      </c>
      <c r="D24" s="38" t="n">
        <f aca="false">COUNTIFS('Output Data'!$O$9:$O$109,3,'Output Data'!$A$9:$A$109,$A24)</f>
        <v>0</v>
      </c>
      <c r="E24" s="38" t="n">
        <f aca="false">COUNTIFS('Output Data'!$O$9:$O$109,4,'Output Data'!$A$9:$A$109,$A24)</f>
        <v>0</v>
      </c>
      <c r="F24" s="38" t="n">
        <f aca="false">COUNTIFS('Output Data'!$O$9:$O$109,5,'Output Data'!$A$9:$A$109,$A24)</f>
        <v>0</v>
      </c>
      <c r="G24" s="38" t="n">
        <f aca="false">COUNTIFS('Output Data'!$O$9:$O$109,6,'Output Data'!$A$9:$A$109,$A24)</f>
        <v>0</v>
      </c>
      <c r="H24" s="38" t="n">
        <f aca="false">COUNTIFS('Output Data'!$O$9:$O$109,7,'Output Data'!$A$9:$A$109,$A24)</f>
        <v>0</v>
      </c>
      <c r="I24" s="38" t="n">
        <f aca="false">COUNTIFS('Output Data'!$O$9:$O$109,8,'Output Data'!$A$9:$A$109,$A24)</f>
        <v>0</v>
      </c>
      <c r="J24" s="38" t="n">
        <f aca="false">COUNTIFS('Output Data'!$O$9:$O$109,9,'Output Data'!$A$9:$A$109,$A24)</f>
        <v>0</v>
      </c>
      <c r="K24" s="38" t="n">
        <f aca="false">COUNTIFS('Output Data'!$O$9:$O$109,10,'Output Data'!$A$9:$A$109,$A24)</f>
        <v>0</v>
      </c>
      <c r="L24" s="38" t="n">
        <f aca="false">COUNTIFS('Output Data'!$O$9:$O$109,11,'Output Data'!$A$9:$A$109,$A24)</f>
        <v>0</v>
      </c>
      <c r="M24" s="38" t="n">
        <f aca="false">COUNTIFS('Output Data'!$O$9:$O$109,12,'Output Data'!$A$9:$A$109,$A24)</f>
        <v>0</v>
      </c>
      <c r="N24" s="38" t="n">
        <f aca="false">SUM(B24:M24)</f>
        <v>0</v>
      </c>
    </row>
    <row r="25" customFormat="false" ht="15" hidden="false" customHeight="false" outlineLevel="0" collapsed="false">
      <c r="A25" s="45" t="s">
        <v>255</v>
      </c>
      <c r="B25" s="38" t="n">
        <f aca="false">COUNTIFS('Output Data'!$O$9:$O$109,1,'Output Data'!$A$9:$A$109,$A25)</f>
        <v>0</v>
      </c>
      <c r="C25" s="38" t="n">
        <f aca="false">COUNTIFS('Output Data'!$O$9:$O$109,2,'Output Data'!$A$9:$A$109,$A25)</f>
        <v>0</v>
      </c>
      <c r="D25" s="38" t="n">
        <f aca="false">COUNTIFS('Output Data'!$O$9:$O$109,3,'Output Data'!$A$9:$A$109,$A25)</f>
        <v>0</v>
      </c>
      <c r="E25" s="38" t="n">
        <f aca="false">COUNTIFS('Output Data'!$O$9:$O$109,4,'Output Data'!$A$9:$A$109,$A25)</f>
        <v>0</v>
      </c>
      <c r="F25" s="38" t="n">
        <f aca="false">COUNTIFS('Output Data'!$O$9:$O$109,5,'Output Data'!$A$9:$A$109,$A25)</f>
        <v>0</v>
      </c>
      <c r="G25" s="38" t="n">
        <f aca="false">COUNTIFS('Output Data'!$O$9:$O$109,6,'Output Data'!$A$9:$A$109,$A25)</f>
        <v>0</v>
      </c>
      <c r="H25" s="38" t="n">
        <f aca="false">COUNTIFS('Output Data'!$O$9:$O$109,7,'Output Data'!$A$9:$A$109,$A25)</f>
        <v>0</v>
      </c>
      <c r="I25" s="38" t="n">
        <f aca="false">COUNTIFS('Output Data'!$O$9:$O$109,8,'Output Data'!$A$9:$A$109,$A25)</f>
        <v>0</v>
      </c>
      <c r="J25" s="38" t="n">
        <f aca="false">COUNTIFS('Output Data'!$O$9:$O$109,9,'Output Data'!$A$9:$A$109,$A25)</f>
        <v>0</v>
      </c>
      <c r="K25" s="38" t="n">
        <f aca="false">COUNTIFS('Output Data'!$O$9:$O$109,10,'Output Data'!$A$9:$A$109,$A25)</f>
        <v>0</v>
      </c>
      <c r="L25" s="38" t="n">
        <f aca="false">COUNTIFS('Output Data'!$O$9:$O$109,11,'Output Data'!$A$9:$A$109,$A25)</f>
        <v>0</v>
      </c>
      <c r="M25" s="38" t="n">
        <f aca="false">COUNTIFS('Output Data'!$O$9:$O$109,12,'Output Data'!$A$9:$A$109,$A25)</f>
        <v>0</v>
      </c>
      <c r="N25" s="38" t="n">
        <f aca="false">SUM(B25:M25)</f>
        <v>0</v>
      </c>
    </row>
    <row r="26" customFormat="false" ht="15" hidden="false" customHeight="false" outlineLevel="0" collapsed="false">
      <c r="A26" s="45" t="s">
        <v>256</v>
      </c>
      <c r="B26" s="38" t="n">
        <f aca="false">COUNTIFS('Output Data'!$O$9:$O$109,1,'Output Data'!$A$9:$A$109,$A26)</f>
        <v>0</v>
      </c>
      <c r="C26" s="38" t="n">
        <f aca="false">COUNTIFS('Output Data'!$O$9:$O$109,2,'Output Data'!$A$9:$A$109,$A26)</f>
        <v>0</v>
      </c>
      <c r="D26" s="38" t="n">
        <f aca="false">COUNTIFS('Output Data'!$O$9:$O$109,3,'Output Data'!$A$9:$A$109,$A26)</f>
        <v>0</v>
      </c>
      <c r="E26" s="38" t="n">
        <f aca="false">COUNTIFS('Output Data'!$O$9:$O$109,4,'Output Data'!$A$9:$A$109,$A26)</f>
        <v>0</v>
      </c>
      <c r="F26" s="38" t="n">
        <f aca="false">COUNTIFS('Output Data'!$O$9:$O$109,5,'Output Data'!$A$9:$A$109,$A26)</f>
        <v>0</v>
      </c>
      <c r="G26" s="38" t="n">
        <f aca="false">COUNTIFS('Output Data'!$O$9:$O$109,6,'Output Data'!$A$9:$A$109,$A26)</f>
        <v>0</v>
      </c>
      <c r="H26" s="38" t="n">
        <f aca="false">COUNTIFS('Output Data'!$O$9:$O$109,7,'Output Data'!$A$9:$A$109,$A26)</f>
        <v>0</v>
      </c>
      <c r="I26" s="38" t="n">
        <f aca="false">COUNTIFS('Output Data'!$O$9:$O$109,8,'Output Data'!$A$9:$A$109,$A26)</f>
        <v>0</v>
      </c>
      <c r="J26" s="38" t="n">
        <f aca="false">COUNTIFS('Output Data'!$O$9:$O$109,9,'Output Data'!$A$9:$A$109,$A26)</f>
        <v>0</v>
      </c>
      <c r="K26" s="38" t="n">
        <f aca="false">COUNTIFS('Output Data'!$O$9:$O$109,10,'Output Data'!$A$9:$A$109,$A26)</f>
        <v>0</v>
      </c>
      <c r="L26" s="38" t="n">
        <f aca="false">COUNTIFS('Output Data'!$O$9:$O$109,11,'Output Data'!$A$9:$A$109,$A26)</f>
        <v>0</v>
      </c>
      <c r="M26" s="38" t="n">
        <f aca="false">COUNTIFS('Output Data'!$O$9:$O$109,12,'Output Data'!$A$9:$A$109,$A26)</f>
        <v>0</v>
      </c>
      <c r="N26" s="38" t="n">
        <f aca="false">SUM(B26:M26)</f>
        <v>0</v>
      </c>
    </row>
    <row r="27" customFormat="false" ht="15" hidden="false" customHeight="false" outlineLevel="0" collapsed="false">
      <c r="A27" s="45" t="s">
        <v>257</v>
      </c>
      <c r="B27" s="38" t="n">
        <f aca="false">COUNTIFS('Output Data'!$O$9:$O$109,1,'Output Data'!$A$9:$A$109,$A27)</f>
        <v>0</v>
      </c>
      <c r="C27" s="38" t="n">
        <f aca="false">COUNTIFS('Output Data'!$O$9:$O$109,2,'Output Data'!$A$9:$A$109,$A27)</f>
        <v>0</v>
      </c>
      <c r="D27" s="38" t="n">
        <f aca="false">COUNTIFS('Output Data'!$O$9:$O$109,3,'Output Data'!$A$9:$A$109,$A27)</f>
        <v>0</v>
      </c>
      <c r="E27" s="38" t="n">
        <f aca="false">COUNTIFS('Output Data'!$O$9:$O$109,4,'Output Data'!$A$9:$A$109,$A27)</f>
        <v>0</v>
      </c>
      <c r="F27" s="38" t="n">
        <f aca="false">COUNTIFS('Output Data'!$O$9:$O$109,5,'Output Data'!$A$9:$A$109,$A27)</f>
        <v>0</v>
      </c>
      <c r="G27" s="38" t="n">
        <f aca="false">COUNTIFS('Output Data'!$O$9:$O$109,6,'Output Data'!$A$9:$A$109,$A27)</f>
        <v>0</v>
      </c>
      <c r="H27" s="38" t="n">
        <f aca="false">COUNTIFS('Output Data'!$O$9:$O$109,7,'Output Data'!$A$9:$A$109,$A27)</f>
        <v>0</v>
      </c>
      <c r="I27" s="38" t="n">
        <f aca="false">COUNTIFS('Output Data'!$O$9:$O$109,8,'Output Data'!$A$9:$A$109,$A27)</f>
        <v>0</v>
      </c>
      <c r="J27" s="38" t="n">
        <f aca="false">COUNTIFS('Output Data'!$O$9:$O$109,9,'Output Data'!$A$9:$A$109,$A27)</f>
        <v>0</v>
      </c>
      <c r="K27" s="38" t="n">
        <f aca="false">COUNTIFS('Output Data'!$O$9:$O$109,10,'Output Data'!$A$9:$A$109,$A27)</f>
        <v>0</v>
      </c>
      <c r="L27" s="38" t="n">
        <f aca="false">COUNTIFS('Output Data'!$O$9:$O$109,11,'Output Data'!$A$9:$A$109,$A27)</f>
        <v>0</v>
      </c>
      <c r="M27" s="38" t="n">
        <f aca="false">COUNTIFS('Output Data'!$O$9:$O$109,12,'Output Data'!$A$9:$A$109,$A27)</f>
        <v>0</v>
      </c>
      <c r="N27" s="38" t="n">
        <f aca="false">SUM(B27:M27)</f>
        <v>0</v>
      </c>
    </row>
    <row r="28" customFormat="false" ht="15" hidden="false" customHeight="false" outlineLevel="0" collapsed="false">
      <c r="A28" s="45" t="s">
        <v>36</v>
      </c>
      <c r="B28" s="38" t="n">
        <f aca="false">COUNTIFS('Output Data'!$O$9:$O$109,1,'Output Data'!$A$9:$A$109,$A28)</f>
        <v>0</v>
      </c>
      <c r="C28" s="38" t="n">
        <f aca="false">COUNTIFS('Output Data'!$O$9:$O$109,2,'Output Data'!$A$9:$A$109,$A28)</f>
        <v>0</v>
      </c>
      <c r="D28" s="38" t="n">
        <f aca="false">COUNTIFS('Output Data'!$O$9:$O$109,3,'Output Data'!$A$9:$A$109,$A28)</f>
        <v>0</v>
      </c>
      <c r="E28" s="38" t="n">
        <f aca="false">COUNTIFS('Output Data'!$O$9:$O$109,4,'Output Data'!$A$9:$A$109,$A28)</f>
        <v>0</v>
      </c>
      <c r="F28" s="38" t="n">
        <f aca="false">COUNTIFS('Output Data'!$O$9:$O$109,5,'Output Data'!$A$9:$A$109,$A28)</f>
        <v>0</v>
      </c>
      <c r="G28" s="38" t="n">
        <f aca="false">COUNTIFS('Output Data'!$O$9:$O$109,6,'Output Data'!$A$9:$A$109,$A28)</f>
        <v>0</v>
      </c>
      <c r="H28" s="38" t="n">
        <f aca="false">COUNTIFS('Output Data'!$O$9:$O$109,7,'Output Data'!$A$9:$A$109,$A28)</f>
        <v>0</v>
      </c>
      <c r="I28" s="38" t="n">
        <f aca="false">COUNTIFS('Output Data'!$O$9:$O$109,8,'Output Data'!$A$9:$A$109,$A28)</f>
        <v>0</v>
      </c>
      <c r="J28" s="38" t="n">
        <f aca="false">COUNTIFS('Output Data'!$O$9:$O$109,9,'Output Data'!$A$9:$A$109,$A28)</f>
        <v>0</v>
      </c>
      <c r="K28" s="38" t="n">
        <f aca="false">COUNTIFS('Output Data'!$O$9:$O$109,10,'Output Data'!$A$9:$A$109,$A28)</f>
        <v>0</v>
      </c>
      <c r="L28" s="38" t="n">
        <f aca="false">COUNTIFS('Output Data'!$O$9:$O$109,11,'Output Data'!$A$9:$A$109,$A28)</f>
        <v>0</v>
      </c>
      <c r="M28" s="38" t="n">
        <f aca="false">COUNTIFS('Output Data'!$O$9:$O$109,12,'Output Data'!$A$9:$A$109,$A28)</f>
        <v>0</v>
      </c>
      <c r="N28" s="38" t="n">
        <f aca="false">SUM(B28:M28)</f>
        <v>0</v>
      </c>
    </row>
    <row r="29" customFormat="false" ht="15" hidden="false" customHeight="false" outlineLevel="0" collapsed="false">
      <c r="A29" s="45" t="s">
        <v>258</v>
      </c>
      <c r="B29" s="38" t="n">
        <f aca="false">COUNTIFS('Output Data'!$O$9:$O$109,1,'Output Data'!$A$9:$A$109,$A29)</f>
        <v>0</v>
      </c>
      <c r="C29" s="38" t="n">
        <f aca="false">COUNTIFS('Output Data'!$O$9:$O$109,2,'Output Data'!$A$9:$A$109,$A29)</f>
        <v>0</v>
      </c>
      <c r="D29" s="38" t="n">
        <f aca="false">COUNTIFS('Output Data'!$O$9:$O$109,3,'Output Data'!$A$9:$A$109,$A29)</f>
        <v>0</v>
      </c>
      <c r="E29" s="38" t="n">
        <f aca="false">COUNTIFS('Output Data'!$O$9:$O$109,4,'Output Data'!$A$9:$A$109,$A29)</f>
        <v>0</v>
      </c>
      <c r="F29" s="38" t="n">
        <f aca="false">COUNTIFS('Output Data'!$O$9:$O$109,5,'Output Data'!$A$9:$A$109,$A29)</f>
        <v>0</v>
      </c>
      <c r="G29" s="38" t="n">
        <f aca="false">COUNTIFS('Output Data'!$O$9:$O$109,6,'Output Data'!$A$9:$A$109,$A29)</f>
        <v>0</v>
      </c>
      <c r="H29" s="38" t="n">
        <f aca="false">COUNTIFS('Output Data'!$O$9:$O$109,7,'Output Data'!$A$9:$A$109,$A29)</f>
        <v>0</v>
      </c>
      <c r="I29" s="38" t="n">
        <f aca="false">COUNTIFS('Output Data'!$O$9:$O$109,8,'Output Data'!$A$9:$A$109,$A29)</f>
        <v>0</v>
      </c>
      <c r="J29" s="38" t="n">
        <f aca="false">COUNTIFS('Output Data'!$O$9:$O$109,9,'Output Data'!$A$9:$A$109,$A29)</f>
        <v>0</v>
      </c>
      <c r="K29" s="38" t="n">
        <f aca="false">COUNTIFS('Output Data'!$O$9:$O$109,10,'Output Data'!$A$9:$A$109,$A29)</f>
        <v>0</v>
      </c>
      <c r="L29" s="38" t="n">
        <f aca="false">COUNTIFS('Output Data'!$O$9:$O$109,11,'Output Data'!$A$9:$A$109,$A29)</f>
        <v>0</v>
      </c>
      <c r="M29" s="38" t="n">
        <f aca="false">COUNTIFS('Output Data'!$O$9:$O$109,12,'Output Data'!$A$9:$A$109,$A29)</f>
        <v>0</v>
      </c>
      <c r="N29" s="38" t="n">
        <f aca="false">SUM(B29:M29)</f>
        <v>0</v>
      </c>
    </row>
    <row r="30" customFormat="false" ht="15" hidden="false" customHeight="false" outlineLevel="0" collapsed="false">
      <c r="A30" s="45" t="s">
        <v>259</v>
      </c>
      <c r="B30" s="38" t="n">
        <f aca="false">COUNTIFS('Output Data'!$O$9:$O$109,1,'Output Data'!$A$9:$A$109,$A30)</f>
        <v>0</v>
      </c>
      <c r="C30" s="38" t="n">
        <f aca="false">COUNTIFS('Output Data'!$O$9:$O$109,2,'Output Data'!$A$9:$A$109,$A30)</f>
        <v>0</v>
      </c>
      <c r="D30" s="38" t="n">
        <f aca="false">COUNTIFS('Output Data'!$O$9:$O$109,3,'Output Data'!$A$9:$A$109,$A30)</f>
        <v>0</v>
      </c>
      <c r="E30" s="38" t="n">
        <f aca="false">COUNTIFS('Output Data'!$O$9:$O$109,4,'Output Data'!$A$9:$A$109,$A30)</f>
        <v>0</v>
      </c>
      <c r="F30" s="38" t="n">
        <f aca="false">COUNTIFS('Output Data'!$O$9:$O$109,5,'Output Data'!$A$9:$A$109,$A30)</f>
        <v>0</v>
      </c>
      <c r="G30" s="38" t="n">
        <f aca="false">COUNTIFS('Output Data'!$O$9:$O$109,6,'Output Data'!$A$9:$A$109,$A30)</f>
        <v>0</v>
      </c>
      <c r="H30" s="38" t="n">
        <f aca="false">COUNTIFS('Output Data'!$O$9:$O$109,7,'Output Data'!$A$9:$A$109,$A30)</f>
        <v>0</v>
      </c>
      <c r="I30" s="38" t="n">
        <f aca="false">COUNTIFS('Output Data'!$O$9:$O$109,8,'Output Data'!$A$9:$A$109,$A30)</f>
        <v>0</v>
      </c>
      <c r="J30" s="38" t="n">
        <f aca="false">COUNTIFS('Output Data'!$O$9:$O$109,9,'Output Data'!$A$9:$A$109,$A30)</f>
        <v>0</v>
      </c>
      <c r="K30" s="38" t="n">
        <f aca="false">COUNTIFS('Output Data'!$O$9:$O$109,10,'Output Data'!$A$9:$A$109,$A30)</f>
        <v>0</v>
      </c>
      <c r="L30" s="38" t="n">
        <f aca="false">COUNTIFS('Output Data'!$O$9:$O$109,11,'Output Data'!$A$9:$A$109,$A30)</f>
        <v>0</v>
      </c>
      <c r="M30" s="38" t="n">
        <f aca="false">COUNTIFS('Output Data'!$O$9:$O$109,12,'Output Data'!$A$9:$A$109,$A30)</f>
        <v>0</v>
      </c>
      <c r="N30" s="38" t="n">
        <f aca="false">SUM(B30:M30)</f>
        <v>0</v>
      </c>
    </row>
    <row r="31" customFormat="false" ht="15" hidden="false" customHeight="false" outlineLevel="0" collapsed="false">
      <c r="A31" s="45" t="s">
        <v>260</v>
      </c>
      <c r="B31" s="38" t="n">
        <f aca="false">COUNTIFS('Output Data'!$O$9:$O$109,1,'Output Data'!$A$9:$A$109,$A31)</f>
        <v>0</v>
      </c>
      <c r="C31" s="38" t="n">
        <f aca="false">COUNTIFS('Output Data'!$O$9:$O$109,2,'Output Data'!$A$9:$A$109,$A31)</f>
        <v>0</v>
      </c>
      <c r="D31" s="38" t="n">
        <f aca="false">COUNTIFS('Output Data'!$O$9:$O$109,3,'Output Data'!$A$9:$A$109,$A31)</f>
        <v>0</v>
      </c>
      <c r="E31" s="38" t="n">
        <f aca="false">COUNTIFS('Output Data'!$O$9:$O$109,4,'Output Data'!$A$9:$A$109,$A31)</f>
        <v>0</v>
      </c>
      <c r="F31" s="38" t="n">
        <f aca="false">COUNTIFS('Output Data'!$O$9:$O$109,5,'Output Data'!$A$9:$A$109,$A31)</f>
        <v>0</v>
      </c>
      <c r="G31" s="38" t="n">
        <f aca="false">COUNTIFS('Output Data'!$O$9:$O$109,6,'Output Data'!$A$9:$A$109,$A31)</f>
        <v>0</v>
      </c>
      <c r="H31" s="38" t="n">
        <f aca="false">COUNTIFS('Output Data'!$O$9:$O$109,7,'Output Data'!$A$9:$A$109,$A31)</f>
        <v>0</v>
      </c>
      <c r="I31" s="38" t="n">
        <f aca="false">COUNTIFS('Output Data'!$O$9:$O$109,8,'Output Data'!$A$9:$A$109,$A31)</f>
        <v>0</v>
      </c>
      <c r="J31" s="38" t="n">
        <f aca="false">COUNTIFS('Output Data'!$O$9:$O$109,9,'Output Data'!$A$9:$A$109,$A31)</f>
        <v>0</v>
      </c>
      <c r="K31" s="38" t="n">
        <f aca="false">COUNTIFS('Output Data'!$O$9:$O$109,10,'Output Data'!$A$9:$A$109,$A31)</f>
        <v>0</v>
      </c>
      <c r="L31" s="38" t="n">
        <f aca="false">COUNTIFS('Output Data'!$O$9:$O$109,11,'Output Data'!$A$9:$A$109,$A31)</f>
        <v>0</v>
      </c>
      <c r="M31" s="38" t="n">
        <f aca="false">COUNTIFS('Output Data'!$O$9:$O$109,12,'Output Data'!$A$9:$A$109,$A31)</f>
        <v>0</v>
      </c>
      <c r="N31" s="38" t="n">
        <f aca="false">SUM(B31:M31)</f>
        <v>0</v>
      </c>
    </row>
    <row r="32" customFormat="false" ht="15" hidden="false" customHeight="false" outlineLevel="0" collapsed="false">
      <c r="A32" s="45" t="s">
        <v>261</v>
      </c>
      <c r="B32" s="38" t="n">
        <f aca="false">COUNTIFS('Output Data'!$O$9:$O$109,1,'Output Data'!$A$9:$A$109,$A32)</f>
        <v>0</v>
      </c>
      <c r="C32" s="38" t="n">
        <f aca="false">COUNTIFS('Output Data'!$O$9:$O$109,2,'Output Data'!$A$9:$A$109,$A32)</f>
        <v>0</v>
      </c>
      <c r="D32" s="38" t="n">
        <f aca="false">COUNTIFS('Output Data'!$O$9:$O$109,3,'Output Data'!$A$9:$A$109,$A32)</f>
        <v>0</v>
      </c>
      <c r="E32" s="38" t="n">
        <f aca="false">COUNTIFS('Output Data'!$O$9:$O$109,4,'Output Data'!$A$9:$A$109,$A32)</f>
        <v>0</v>
      </c>
      <c r="F32" s="38" t="n">
        <f aca="false">COUNTIFS('Output Data'!$O$9:$O$109,5,'Output Data'!$A$9:$A$109,$A32)</f>
        <v>0</v>
      </c>
      <c r="G32" s="38" t="n">
        <f aca="false">COUNTIFS('Output Data'!$O$9:$O$109,6,'Output Data'!$A$9:$A$109,$A32)</f>
        <v>0</v>
      </c>
      <c r="H32" s="38" t="n">
        <f aca="false">COUNTIFS('Output Data'!$O$9:$O$109,7,'Output Data'!$A$9:$A$109,$A32)</f>
        <v>0</v>
      </c>
      <c r="I32" s="38" t="n">
        <f aca="false">COUNTIFS('Output Data'!$O$9:$O$109,8,'Output Data'!$A$9:$A$109,$A32)</f>
        <v>0</v>
      </c>
      <c r="J32" s="38" t="n">
        <f aca="false">COUNTIFS('Output Data'!$O$9:$O$109,9,'Output Data'!$A$9:$A$109,$A32)</f>
        <v>0</v>
      </c>
      <c r="K32" s="38" t="n">
        <f aca="false">COUNTIFS('Output Data'!$O$9:$O$109,10,'Output Data'!$A$9:$A$109,$A32)</f>
        <v>0</v>
      </c>
      <c r="L32" s="38" t="n">
        <f aca="false">COUNTIFS('Output Data'!$O$9:$O$109,11,'Output Data'!$A$9:$A$109,$A32)</f>
        <v>0</v>
      </c>
      <c r="M32" s="38" t="n">
        <f aca="false">COUNTIFS('Output Data'!$O$9:$O$109,12,'Output Data'!$A$9:$A$109,$A32)</f>
        <v>0</v>
      </c>
      <c r="N32" s="38" t="n">
        <f aca="false">SUM(B32:M32)</f>
        <v>0</v>
      </c>
    </row>
    <row r="33" customFormat="false" ht="15" hidden="false" customHeight="false" outlineLevel="0" collapsed="false">
      <c r="A33" s="45" t="s">
        <v>262</v>
      </c>
      <c r="B33" s="38" t="n">
        <f aca="false">COUNTIFS('Output Data'!$O$9:$O$109,1,'Output Data'!$A$9:$A$109,$A33)</f>
        <v>0</v>
      </c>
      <c r="C33" s="38" t="n">
        <f aca="false">COUNTIFS('Output Data'!$O$9:$O$109,2,'Output Data'!$A$9:$A$109,$A33)</f>
        <v>0</v>
      </c>
      <c r="D33" s="38" t="n">
        <f aca="false">COUNTIFS('Output Data'!$O$9:$O$109,3,'Output Data'!$A$9:$A$109,$A33)</f>
        <v>0</v>
      </c>
      <c r="E33" s="38" t="n">
        <f aca="false">COUNTIFS('Output Data'!$O$9:$O$109,4,'Output Data'!$A$9:$A$109,$A33)</f>
        <v>0</v>
      </c>
      <c r="F33" s="38" t="n">
        <f aca="false">COUNTIFS('Output Data'!$O$9:$O$109,5,'Output Data'!$A$9:$A$109,$A33)</f>
        <v>0</v>
      </c>
      <c r="G33" s="38" t="n">
        <f aca="false">COUNTIFS('Output Data'!$O$9:$O$109,6,'Output Data'!$A$9:$A$109,$A33)</f>
        <v>0</v>
      </c>
      <c r="H33" s="38" t="n">
        <f aca="false">COUNTIFS('Output Data'!$O$9:$O$109,7,'Output Data'!$A$9:$A$109,$A33)</f>
        <v>0</v>
      </c>
      <c r="I33" s="38" t="n">
        <f aca="false">COUNTIFS('Output Data'!$O$9:$O$109,8,'Output Data'!$A$9:$A$109,$A33)</f>
        <v>0</v>
      </c>
      <c r="J33" s="38" t="n">
        <f aca="false">COUNTIFS('Output Data'!$O$9:$O$109,9,'Output Data'!$A$9:$A$109,$A33)</f>
        <v>0</v>
      </c>
      <c r="K33" s="38" t="n">
        <f aca="false">COUNTIFS('Output Data'!$O$9:$O$109,10,'Output Data'!$A$9:$A$109,$A33)</f>
        <v>0</v>
      </c>
      <c r="L33" s="38" t="n">
        <f aca="false">COUNTIFS('Output Data'!$O$9:$O$109,11,'Output Data'!$A$9:$A$109,$A33)</f>
        <v>0</v>
      </c>
      <c r="M33" s="38" t="n">
        <f aca="false">COUNTIFS('Output Data'!$O$9:$O$109,12,'Output Data'!$A$9:$A$109,$A33)</f>
        <v>0</v>
      </c>
      <c r="N33" s="38" t="n">
        <f aca="false">SUM(B33:M33)</f>
        <v>0</v>
      </c>
    </row>
    <row r="34" customFormat="false" ht="15" hidden="false" customHeight="false" outlineLevel="0" collapsed="false">
      <c r="A34" s="45" t="s">
        <v>263</v>
      </c>
      <c r="B34" s="38" t="n">
        <f aca="false">COUNTIFS('Output Data'!$O$9:$O$109,1,'Output Data'!$A$9:$A$109,$A34)</f>
        <v>0</v>
      </c>
      <c r="C34" s="38" t="n">
        <f aca="false">COUNTIFS('Output Data'!$O$9:$O$109,2,'Output Data'!$A$9:$A$109,$A34)</f>
        <v>0</v>
      </c>
      <c r="D34" s="38" t="n">
        <f aca="false">COUNTIFS('Output Data'!$O$9:$O$109,3,'Output Data'!$A$9:$A$109,$A34)</f>
        <v>0</v>
      </c>
      <c r="E34" s="38" t="n">
        <f aca="false">COUNTIFS('Output Data'!$O$9:$O$109,4,'Output Data'!$A$9:$A$109,$A34)</f>
        <v>0</v>
      </c>
      <c r="F34" s="38" t="n">
        <f aca="false">COUNTIFS('Output Data'!$O$9:$O$109,5,'Output Data'!$A$9:$A$109,$A34)</f>
        <v>0</v>
      </c>
      <c r="G34" s="38" t="n">
        <f aca="false">COUNTIFS('Output Data'!$O$9:$O$109,6,'Output Data'!$A$9:$A$109,$A34)</f>
        <v>0</v>
      </c>
      <c r="H34" s="38" t="n">
        <f aca="false">COUNTIFS('Output Data'!$O$9:$O$109,7,'Output Data'!$A$9:$A$109,$A34)</f>
        <v>0</v>
      </c>
      <c r="I34" s="38" t="n">
        <f aca="false">COUNTIFS('Output Data'!$O$9:$O$109,8,'Output Data'!$A$9:$A$109,$A34)</f>
        <v>0</v>
      </c>
      <c r="J34" s="38" t="n">
        <f aca="false">COUNTIFS('Output Data'!$O$9:$O$109,9,'Output Data'!$A$9:$A$109,$A34)</f>
        <v>0</v>
      </c>
      <c r="K34" s="38" t="n">
        <f aca="false">COUNTIFS('Output Data'!$O$9:$O$109,10,'Output Data'!$A$9:$A$109,$A34)</f>
        <v>0</v>
      </c>
      <c r="L34" s="38" t="n">
        <f aca="false">COUNTIFS('Output Data'!$O$9:$O$109,11,'Output Data'!$A$9:$A$109,$A34)</f>
        <v>0</v>
      </c>
      <c r="M34" s="38" t="n">
        <f aca="false">COUNTIFS('Output Data'!$O$9:$O$109,12,'Output Data'!$A$9:$A$109,$A34)</f>
        <v>0</v>
      </c>
      <c r="N34" s="38" t="n">
        <f aca="false">SUM(B34:M34)</f>
        <v>0</v>
      </c>
    </row>
    <row r="35" customFormat="false" ht="15" hidden="false" customHeight="false" outlineLevel="0" collapsed="false">
      <c r="A35" s="45" t="s">
        <v>264</v>
      </c>
      <c r="B35" s="38" t="n">
        <f aca="false">COUNTIFS('Output Data'!$O$9:$O$109,1,'Output Data'!$A$9:$A$109,$A35)</f>
        <v>0</v>
      </c>
      <c r="C35" s="38" t="n">
        <f aca="false">COUNTIFS('Output Data'!$O$9:$O$109,2,'Output Data'!$A$9:$A$109,$A35)</f>
        <v>0</v>
      </c>
      <c r="D35" s="38" t="n">
        <f aca="false">COUNTIFS('Output Data'!$O$9:$O$109,3,'Output Data'!$A$9:$A$109,$A35)</f>
        <v>0</v>
      </c>
      <c r="E35" s="38" t="n">
        <f aca="false">COUNTIFS('Output Data'!$O$9:$O$109,4,'Output Data'!$A$9:$A$109,$A35)</f>
        <v>0</v>
      </c>
      <c r="F35" s="38" t="n">
        <f aca="false">COUNTIFS('Output Data'!$O$9:$O$109,5,'Output Data'!$A$9:$A$109,$A35)</f>
        <v>0</v>
      </c>
      <c r="G35" s="38" t="n">
        <f aca="false">COUNTIFS('Output Data'!$O$9:$O$109,6,'Output Data'!$A$9:$A$109,$A35)</f>
        <v>0</v>
      </c>
      <c r="H35" s="38" t="n">
        <f aca="false">COUNTIFS('Output Data'!$O$9:$O$109,7,'Output Data'!$A$9:$A$109,$A35)</f>
        <v>0</v>
      </c>
      <c r="I35" s="38" t="n">
        <f aca="false">COUNTIFS('Output Data'!$O$9:$O$109,8,'Output Data'!$A$9:$A$109,$A35)</f>
        <v>0</v>
      </c>
      <c r="J35" s="38" t="n">
        <f aca="false">COUNTIFS('Output Data'!$O$9:$O$109,9,'Output Data'!$A$9:$A$109,$A35)</f>
        <v>0</v>
      </c>
      <c r="K35" s="38" t="n">
        <f aca="false">COUNTIFS('Output Data'!$O$9:$O$109,10,'Output Data'!$A$9:$A$109,$A35)</f>
        <v>0</v>
      </c>
      <c r="L35" s="38" t="n">
        <f aca="false">COUNTIFS('Output Data'!$O$9:$O$109,11,'Output Data'!$A$9:$A$109,$A35)</f>
        <v>0</v>
      </c>
      <c r="M35" s="38" t="n">
        <f aca="false">COUNTIFS('Output Data'!$O$9:$O$109,12,'Output Data'!$A$9:$A$109,$A35)</f>
        <v>0</v>
      </c>
      <c r="N35" s="38" t="n">
        <f aca="false">SUM(B35:M35)</f>
        <v>0</v>
      </c>
    </row>
    <row r="36" customFormat="false" ht="15" hidden="false" customHeight="false" outlineLevel="0" collapsed="false">
      <c r="A36" s="45" t="s">
        <v>265</v>
      </c>
      <c r="B36" s="38" t="n">
        <f aca="false">COUNTIFS('Output Data'!$O$9:$O$109,1,'Output Data'!$A$9:$A$109,$A36)</f>
        <v>0</v>
      </c>
      <c r="C36" s="38" t="n">
        <f aca="false">COUNTIFS('Output Data'!$O$9:$O$109,2,'Output Data'!$A$9:$A$109,$A36)</f>
        <v>0</v>
      </c>
      <c r="D36" s="38" t="n">
        <f aca="false">COUNTIFS('Output Data'!$O$9:$O$109,3,'Output Data'!$A$9:$A$109,$A36)</f>
        <v>0</v>
      </c>
      <c r="E36" s="38" t="n">
        <f aca="false">COUNTIFS('Output Data'!$O$9:$O$109,4,'Output Data'!$A$9:$A$109,$A36)</f>
        <v>0</v>
      </c>
      <c r="F36" s="38" t="n">
        <f aca="false">COUNTIFS('Output Data'!$O$9:$O$109,5,'Output Data'!$A$9:$A$109,$A36)</f>
        <v>0</v>
      </c>
      <c r="G36" s="38" t="n">
        <f aca="false">COUNTIFS('Output Data'!$O$9:$O$109,6,'Output Data'!$A$9:$A$109,$A36)</f>
        <v>0</v>
      </c>
      <c r="H36" s="38" t="n">
        <f aca="false">COUNTIFS('Output Data'!$O$9:$O$109,7,'Output Data'!$A$9:$A$109,$A36)</f>
        <v>0</v>
      </c>
      <c r="I36" s="38" t="n">
        <f aca="false">COUNTIFS('Output Data'!$O$9:$O$109,8,'Output Data'!$A$9:$A$109,$A36)</f>
        <v>0</v>
      </c>
      <c r="J36" s="38" t="n">
        <f aca="false">COUNTIFS('Output Data'!$O$9:$O$109,9,'Output Data'!$A$9:$A$109,$A36)</f>
        <v>0</v>
      </c>
      <c r="K36" s="38" t="n">
        <f aca="false">COUNTIFS('Output Data'!$O$9:$O$109,10,'Output Data'!$A$9:$A$109,$A36)</f>
        <v>0</v>
      </c>
      <c r="L36" s="38" t="n">
        <f aca="false">COUNTIFS('Output Data'!$O$9:$O$109,11,'Output Data'!$A$9:$A$109,$A36)</f>
        <v>0</v>
      </c>
      <c r="M36" s="38" t="n">
        <f aca="false">COUNTIFS('Output Data'!$O$9:$O$109,12,'Output Data'!$A$9:$A$109,$A36)</f>
        <v>0</v>
      </c>
      <c r="N36" s="38" t="n">
        <f aca="false">SUM(B36:M36)</f>
        <v>0</v>
      </c>
    </row>
    <row r="37" customFormat="false" ht="15" hidden="false" customHeight="false" outlineLevel="0" collapsed="false">
      <c r="A37" s="45" t="s">
        <v>266</v>
      </c>
      <c r="B37" s="38" t="n">
        <f aca="false">COUNTIFS('Output Data'!$O$9:$O$109,1,'Output Data'!$A$9:$A$109,$A37)</f>
        <v>0</v>
      </c>
      <c r="C37" s="38" t="n">
        <f aca="false">COUNTIFS('Output Data'!$O$9:$O$109,2,'Output Data'!$A$9:$A$109,$A37)</f>
        <v>0</v>
      </c>
      <c r="D37" s="38" t="n">
        <f aca="false">COUNTIFS('Output Data'!$O$9:$O$109,3,'Output Data'!$A$9:$A$109,$A37)</f>
        <v>0</v>
      </c>
      <c r="E37" s="38" t="n">
        <f aca="false">COUNTIFS('Output Data'!$O$9:$O$109,4,'Output Data'!$A$9:$A$109,$A37)</f>
        <v>0</v>
      </c>
      <c r="F37" s="38" t="n">
        <f aca="false">COUNTIFS('Output Data'!$O$9:$O$109,5,'Output Data'!$A$9:$A$109,$A37)</f>
        <v>0</v>
      </c>
      <c r="G37" s="38" t="n">
        <f aca="false">COUNTIFS('Output Data'!$O$9:$O$109,6,'Output Data'!$A$9:$A$109,$A37)</f>
        <v>0</v>
      </c>
      <c r="H37" s="38" t="n">
        <f aca="false">COUNTIFS('Output Data'!$O$9:$O$109,7,'Output Data'!$A$9:$A$109,$A37)</f>
        <v>0</v>
      </c>
      <c r="I37" s="38" t="n">
        <f aca="false">COUNTIFS('Output Data'!$O$9:$O$109,8,'Output Data'!$A$9:$A$109,$A37)</f>
        <v>0</v>
      </c>
      <c r="J37" s="38" t="n">
        <f aca="false">COUNTIFS('Output Data'!$O$9:$O$109,9,'Output Data'!$A$9:$A$109,$A37)</f>
        <v>0</v>
      </c>
      <c r="K37" s="38" t="n">
        <f aca="false">COUNTIFS('Output Data'!$O$9:$O$109,10,'Output Data'!$A$9:$A$109,$A37)</f>
        <v>0</v>
      </c>
      <c r="L37" s="38" t="n">
        <f aca="false">COUNTIFS('Output Data'!$O$9:$O$109,11,'Output Data'!$A$9:$A$109,$A37)</f>
        <v>0</v>
      </c>
      <c r="M37" s="38" t="n">
        <f aca="false">COUNTIFS('Output Data'!$O$9:$O$109,12,'Output Data'!$A$9:$A$109,$A37)</f>
        <v>0</v>
      </c>
      <c r="N37" s="38" t="n">
        <f aca="false">SUM(B37:M37)</f>
        <v>0</v>
      </c>
    </row>
    <row r="38" customFormat="false" ht="15" hidden="false" customHeight="false" outlineLevel="0" collapsed="false">
      <c r="A38" s="46" t="s">
        <v>267</v>
      </c>
      <c r="B38" s="47" t="n">
        <f aca="false">SUM(B4:B37)</f>
        <v>0</v>
      </c>
      <c r="C38" s="47" t="n">
        <f aca="false">SUM(C4:C37)</f>
        <v>0</v>
      </c>
      <c r="D38" s="47" t="n">
        <f aca="false">SUM(D4:D37)</f>
        <v>0</v>
      </c>
      <c r="E38" s="47" t="n">
        <f aca="false">SUM(E4:E37)</f>
        <v>0</v>
      </c>
      <c r="F38" s="47" t="n">
        <f aca="false">SUM(F4:F37)</f>
        <v>0</v>
      </c>
      <c r="G38" s="47" t="n">
        <f aca="false">SUM(G4:G37)</f>
        <v>0</v>
      </c>
      <c r="H38" s="47" t="n">
        <f aca="false">SUM(H4:H37)</f>
        <v>0</v>
      </c>
      <c r="I38" s="47" t="n">
        <f aca="false">SUM(I4:I37)</f>
        <v>0</v>
      </c>
      <c r="J38" s="47" t="n">
        <f aca="false">SUM(J4:J37)</f>
        <v>0</v>
      </c>
      <c r="K38" s="47" t="n">
        <f aca="false">SUM(K4:K37)</f>
        <v>0</v>
      </c>
      <c r="L38" s="47" t="n">
        <f aca="false">SUM(L4:L37)</f>
        <v>0</v>
      </c>
      <c r="M38" s="47" t="n">
        <f aca="false">SUM(M4:M37)</f>
        <v>0</v>
      </c>
      <c r="N38" s="47" t="n">
        <f aca="false">SUM(N4:N37)</f>
        <v>0</v>
      </c>
    </row>
    <row r="40" customFormat="false" ht="15" hidden="false" customHeight="false" outlineLevel="0" collapsed="false">
      <c r="A40" s="48" t="s">
        <v>268</v>
      </c>
      <c r="D40" s="46" t="n">
        <f aca="false">SUMPRODUCT(--(N4:N37&gt;0))</f>
        <v>0</v>
      </c>
    </row>
    <row r="41" customFormat="false" ht="15" hidden="false" customHeight="false" outlineLevel="0" collapsed="false">
      <c r="A41" s="49" t="s">
        <v>269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30"/>
    <col collapsed="false" customWidth="true" hidden="false" outlineLevel="0" max="4" min="4" style="0" width="16"/>
    <col collapsed="false" customWidth="true" hidden="false" outlineLevel="0" max="8" min="5" style="0" width="15"/>
    <col collapsed="false" customWidth="true" hidden="false" outlineLevel="0" max="9" min="9" style="0" width="44"/>
  </cols>
  <sheetData>
    <row r="1" customFormat="false" ht="27" hidden="false" customHeight="true" outlineLevel="0" collapsed="false">
      <c r="A1" s="33" t="s">
        <v>270</v>
      </c>
      <c r="B1" s="33"/>
      <c r="C1" s="33"/>
      <c r="D1" s="33"/>
      <c r="E1" s="33"/>
      <c r="F1" s="33"/>
      <c r="G1" s="33"/>
      <c r="H1" s="33"/>
      <c r="I1" s="33"/>
    </row>
    <row r="2" customFormat="false" ht="30" hidden="false" customHeight="true" outlineLevel="0" collapsed="false">
      <c r="A2" s="2" t="s">
        <v>271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50" t="s">
        <v>272</v>
      </c>
    </row>
    <row r="4" customFormat="false" ht="30" hidden="false" customHeight="true" outlineLevel="0" collapsed="false">
      <c r="A4" s="51" t="s">
        <v>273</v>
      </c>
      <c r="B4" s="51" t="s">
        <v>274</v>
      </c>
      <c r="C4" s="51" t="s">
        <v>275</v>
      </c>
    </row>
    <row r="5" customFormat="false" ht="15" hidden="false" customHeight="false" outlineLevel="0" collapsed="false">
      <c r="A5" s="36" t="s">
        <v>276</v>
      </c>
      <c r="B5" s="52"/>
      <c r="C5" s="52"/>
    </row>
    <row r="6" customFormat="false" ht="15" hidden="false" customHeight="false" outlineLevel="0" collapsed="false">
      <c r="A6" s="36" t="s">
        <v>277</v>
      </c>
      <c r="B6" s="52"/>
      <c r="C6" s="52"/>
    </row>
    <row r="7" customFormat="false" ht="15" hidden="false" customHeight="false" outlineLevel="0" collapsed="false">
      <c r="A7" s="36" t="s">
        <v>278</v>
      </c>
      <c r="B7" s="52"/>
      <c r="C7" s="52"/>
    </row>
    <row r="8" customFormat="false" ht="15" hidden="false" customHeight="false" outlineLevel="0" collapsed="false">
      <c r="A8" s="36" t="s">
        <v>279</v>
      </c>
      <c r="B8" s="52"/>
      <c r="C8" s="52"/>
    </row>
    <row r="9" customFormat="false" ht="15" hidden="false" customHeight="false" outlineLevel="0" collapsed="false">
      <c r="A9" s="36" t="s">
        <v>280</v>
      </c>
      <c r="B9" s="52"/>
      <c r="C9" s="52"/>
    </row>
    <row r="10" customFormat="false" ht="15" hidden="false" customHeight="false" outlineLevel="0" collapsed="false">
      <c r="A10" s="36" t="s">
        <v>281</v>
      </c>
      <c r="B10" s="52"/>
      <c r="C10" s="52"/>
    </row>
    <row r="12" customFormat="false" ht="15" hidden="false" customHeight="false" outlineLevel="0" collapsed="false">
      <c r="A12" s="49" t="s">
        <v>282</v>
      </c>
      <c r="B12" s="49"/>
      <c r="C12" s="49"/>
      <c r="D12" s="49"/>
      <c r="E12" s="49"/>
      <c r="F12" s="49"/>
      <c r="G12" s="49"/>
      <c r="H12" s="49"/>
      <c r="I12" s="49"/>
    </row>
    <row r="14" customFormat="false" ht="15" hidden="false" customHeight="false" outlineLevel="0" collapsed="false">
      <c r="A14" s="50" t="s">
        <v>283</v>
      </c>
    </row>
    <row r="15" customFormat="false" ht="30" hidden="false" customHeight="true" outlineLevel="0" collapsed="false">
      <c r="A15" s="51" t="s">
        <v>284</v>
      </c>
      <c r="B15" s="51" t="s">
        <v>6</v>
      </c>
      <c r="C15" s="51" t="s">
        <v>10</v>
      </c>
      <c r="D15" s="51" t="s">
        <v>9</v>
      </c>
      <c r="E15" s="51" t="s">
        <v>285</v>
      </c>
      <c r="F15" s="51" t="s">
        <v>286</v>
      </c>
      <c r="G15" s="51" t="s">
        <v>287</v>
      </c>
      <c r="H15" s="51" t="s">
        <v>288</v>
      </c>
      <c r="I15" s="51" t="s">
        <v>289</v>
      </c>
    </row>
    <row r="16" customFormat="false" ht="22.35" hidden="false" customHeight="false" outlineLevel="0" collapsed="false">
      <c r="A16" s="53" t="n">
        <v>1</v>
      </c>
      <c r="B16" s="53" t="s">
        <v>290</v>
      </c>
      <c r="C16" s="53" t="s">
        <v>291</v>
      </c>
      <c r="D16" s="54" t="s">
        <v>185</v>
      </c>
      <c r="E16" s="53" t="s">
        <v>292</v>
      </c>
      <c r="F16" s="53" t="s">
        <v>293</v>
      </c>
      <c r="G16" s="53" t="s">
        <v>294</v>
      </c>
      <c r="H16" s="53" t="s">
        <v>293</v>
      </c>
      <c r="I16" s="53" t="s">
        <v>295</v>
      </c>
    </row>
    <row r="17" customFormat="false" ht="15" hidden="false" customHeight="false" outlineLevel="0" collapsed="false">
      <c r="A17" s="36"/>
      <c r="B17" s="36"/>
      <c r="C17" s="36"/>
      <c r="D17" s="55"/>
      <c r="E17" s="36"/>
      <c r="F17" s="36"/>
      <c r="G17" s="36"/>
      <c r="H17" s="36"/>
      <c r="I17" s="36"/>
    </row>
    <row r="18" customFormat="false" ht="15" hidden="false" customHeight="false" outlineLevel="0" collapsed="false">
      <c r="A18" s="36"/>
      <c r="B18" s="36"/>
      <c r="C18" s="36"/>
      <c r="D18" s="55"/>
      <c r="E18" s="36"/>
      <c r="F18" s="36"/>
      <c r="G18" s="36"/>
      <c r="H18" s="36"/>
      <c r="I18" s="36"/>
    </row>
    <row r="19" customFormat="false" ht="15" hidden="false" customHeight="false" outlineLevel="0" collapsed="false">
      <c r="A19" s="36"/>
      <c r="B19" s="36"/>
      <c r="C19" s="36"/>
      <c r="D19" s="55"/>
      <c r="E19" s="36"/>
      <c r="F19" s="36"/>
      <c r="G19" s="36"/>
      <c r="H19" s="36"/>
      <c r="I19" s="36"/>
    </row>
    <row r="20" customFormat="false" ht="15" hidden="false" customHeight="false" outlineLevel="0" collapsed="false">
      <c r="A20" s="36"/>
      <c r="B20" s="36"/>
      <c r="C20" s="36"/>
      <c r="D20" s="55"/>
      <c r="E20" s="36"/>
      <c r="F20" s="36"/>
      <c r="G20" s="36"/>
      <c r="H20" s="36"/>
      <c r="I20" s="36"/>
    </row>
    <row r="21" customFormat="false" ht="15" hidden="false" customHeight="false" outlineLevel="0" collapsed="false">
      <c r="A21" s="36"/>
      <c r="B21" s="36"/>
      <c r="C21" s="36"/>
      <c r="D21" s="55"/>
      <c r="E21" s="36"/>
      <c r="F21" s="36"/>
      <c r="G21" s="36"/>
      <c r="H21" s="36"/>
      <c r="I21" s="36"/>
    </row>
    <row r="22" customFormat="false" ht="15" hidden="false" customHeight="false" outlineLevel="0" collapsed="false">
      <c r="A22" s="36"/>
      <c r="B22" s="36"/>
      <c r="C22" s="36"/>
      <c r="D22" s="55"/>
      <c r="E22" s="36"/>
      <c r="F22" s="36"/>
      <c r="G22" s="36"/>
      <c r="H22" s="36"/>
      <c r="I22" s="36"/>
    </row>
    <row r="23" customFormat="false" ht="15" hidden="false" customHeight="false" outlineLevel="0" collapsed="false">
      <c r="A23" s="36"/>
      <c r="B23" s="36"/>
      <c r="C23" s="36"/>
      <c r="D23" s="55"/>
      <c r="E23" s="36"/>
      <c r="F23" s="36"/>
      <c r="G23" s="36"/>
      <c r="H23" s="36"/>
      <c r="I23" s="36"/>
    </row>
    <row r="24" customFormat="false" ht="15" hidden="false" customHeight="false" outlineLevel="0" collapsed="false">
      <c r="A24" s="36"/>
      <c r="B24" s="36"/>
      <c r="C24" s="36"/>
      <c r="D24" s="55"/>
      <c r="E24" s="36"/>
      <c r="F24" s="36"/>
      <c r="G24" s="36"/>
      <c r="H24" s="36"/>
      <c r="I24" s="36"/>
    </row>
    <row r="25" customFormat="false" ht="15" hidden="false" customHeight="false" outlineLevel="0" collapsed="false">
      <c r="A25" s="36"/>
      <c r="B25" s="36"/>
      <c r="C25" s="36"/>
      <c r="D25" s="55"/>
      <c r="E25" s="36"/>
      <c r="F25" s="36"/>
      <c r="G25" s="36"/>
      <c r="H25" s="36"/>
      <c r="I25" s="36"/>
    </row>
    <row r="26" customFormat="false" ht="15" hidden="false" customHeight="false" outlineLevel="0" collapsed="false">
      <c r="A26" s="36"/>
      <c r="B26" s="36"/>
      <c r="C26" s="36"/>
      <c r="D26" s="55"/>
      <c r="E26" s="36"/>
      <c r="F26" s="36"/>
      <c r="G26" s="36"/>
      <c r="H26" s="36"/>
      <c r="I26" s="36"/>
    </row>
    <row r="27" customFormat="false" ht="15" hidden="false" customHeight="false" outlineLevel="0" collapsed="false">
      <c r="A27" s="36"/>
      <c r="B27" s="36"/>
      <c r="C27" s="36"/>
      <c r="D27" s="55"/>
      <c r="E27" s="36"/>
      <c r="F27" s="36"/>
      <c r="G27" s="36"/>
      <c r="H27" s="36"/>
      <c r="I27" s="36"/>
    </row>
    <row r="28" customFormat="false" ht="15" hidden="false" customHeight="false" outlineLevel="0" collapsed="false">
      <c r="A28" s="36"/>
      <c r="B28" s="36"/>
      <c r="C28" s="36"/>
      <c r="D28" s="55"/>
      <c r="E28" s="36"/>
      <c r="F28" s="36"/>
      <c r="G28" s="36"/>
      <c r="H28" s="36"/>
      <c r="I28" s="36"/>
    </row>
    <row r="29" customFormat="false" ht="15" hidden="false" customHeight="false" outlineLevel="0" collapsed="false">
      <c r="A29" s="36"/>
      <c r="B29" s="36"/>
      <c r="C29" s="36"/>
      <c r="D29" s="55"/>
      <c r="E29" s="36"/>
      <c r="F29" s="36"/>
      <c r="G29" s="36"/>
      <c r="H29" s="36"/>
      <c r="I29" s="36"/>
    </row>
    <row r="30" customFormat="false" ht="15" hidden="false" customHeight="false" outlineLevel="0" collapsed="false">
      <c r="A30" s="36"/>
      <c r="B30" s="36"/>
      <c r="C30" s="36"/>
      <c r="D30" s="55"/>
      <c r="E30" s="36"/>
      <c r="F30" s="36"/>
      <c r="G30" s="36"/>
      <c r="H30" s="36"/>
      <c r="I30" s="36"/>
    </row>
    <row r="31" customFormat="false" ht="15" hidden="false" customHeight="false" outlineLevel="0" collapsed="false">
      <c r="A31" s="36"/>
      <c r="B31" s="36"/>
      <c r="C31" s="36"/>
      <c r="D31" s="55"/>
      <c r="E31" s="36"/>
      <c r="F31" s="36"/>
      <c r="G31" s="36"/>
      <c r="H31" s="36"/>
      <c r="I31" s="36"/>
    </row>
    <row r="32" customFormat="false" ht="15" hidden="false" customHeight="false" outlineLevel="0" collapsed="false">
      <c r="A32" s="36"/>
      <c r="B32" s="36"/>
      <c r="C32" s="36"/>
      <c r="D32" s="55"/>
      <c r="E32" s="36"/>
      <c r="F32" s="36"/>
      <c r="G32" s="36"/>
      <c r="H32" s="36"/>
      <c r="I32" s="36"/>
    </row>
    <row r="33" customFormat="false" ht="15" hidden="false" customHeight="false" outlineLevel="0" collapsed="false">
      <c r="A33" s="36"/>
      <c r="B33" s="36"/>
      <c r="C33" s="36"/>
      <c r="D33" s="55"/>
      <c r="E33" s="36"/>
      <c r="F33" s="36"/>
      <c r="G33" s="36"/>
      <c r="H33" s="36"/>
      <c r="I33" s="36"/>
    </row>
    <row r="34" customFormat="false" ht="15" hidden="false" customHeight="false" outlineLevel="0" collapsed="false">
      <c r="A34" s="36"/>
      <c r="B34" s="36"/>
      <c r="C34" s="36"/>
      <c r="D34" s="55"/>
      <c r="E34" s="36"/>
      <c r="F34" s="36"/>
      <c r="G34" s="36"/>
      <c r="H34" s="36"/>
      <c r="I34" s="36"/>
    </row>
    <row r="35" customFormat="false" ht="15" hidden="false" customHeight="false" outlineLevel="0" collapsed="false">
      <c r="A35" s="36"/>
      <c r="B35" s="36"/>
      <c r="C35" s="36"/>
      <c r="D35" s="55"/>
      <c r="E35" s="36"/>
      <c r="F35" s="36"/>
      <c r="G35" s="36"/>
      <c r="H35" s="36"/>
      <c r="I35" s="36"/>
    </row>
    <row r="36" customFormat="false" ht="15" hidden="false" customHeight="false" outlineLevel="0" collapsed="false">
      <c r="A36" s="36"/>
      <c r="B36" s="36"/>
      <c r="C36" s="36"/>
      <c r="D36" s="55"/>
      <c r="E36" s="36"/>
      <c r="F36" s="36"/>
      <c r="G36" s="36"/>
      <c r="H36" s="36"/>
      <c r="I36" s="36"/>
    </row>
    <row r="37" customFormat="false" ht="15" hidden="false" customHeight="false" outlineLevel="0" collapsed="false">
      <c r="A37" s="36"/>
      <c r="B37" s="36"/>
      <c r="C37" s="36"/>
      <c r="D37" s="55"/>
      <c r="E37" s="36"/>
      <c r="F37" s="36"/>
      <c r="G37" s="36"/>
      <c r="H37" s="36"/>
      <c r="I37" s="36"/>
    </row>
    <row r="38" customFormat="false" ht="15" hidden="false" customHeight="false" outlineLevel="0" collapsed="false">
      <c r="A38" s="36"/>
      <c r="B38" s="36"/>
      <c r="C38" s="36"/>
      <c r="D38" s="55"/>
      <c r="E38" s="36"/>
      <c r="F38" s="36"/>
      <c r="G38" s="36"/>
      <c r="H38" s="36"/>
      <c r="I38" s="36"/>
    </row>
    <row r="39" customFormat="false" ht="15" hidden="false" customHeight="false" outlineLevel="0" collapsed="false">
      <c r="A39" s="36"/>
      <c r="B39" s="36"/>
      <c r="C39" s="36"/>
      <c r="D39" s="55"/>
      <c r="E39" s="36"/>
      <c r="F39" s="36"/>
      <c r="G39" s="36"/>
      <c r="H39" s="36"/>
      <c r="I39" s="36"/>
    </row>
    <row r="40" customFormat="false" ht="15" hidden="false" customHeight="false" outlineLevel="0" collapsed="false">
      <c r="A40" s="36"/>
      <c r="B40" s="36"/>
      <c r="C40" s="36"/>
      <c r="D40" s="55"/>
      <c r="E40" s="36"/>
      <c r="F40" s="36"/>
      <c r="G40" s="36"/>
      <c r="H40" s="36"/>
      <c r="I40" s="36"/>
    </row>
    <row r="41" customFormat="false" ht="15" hidden="false" customHeight="false" outlineLevel="0" collapsed="false">
      <c r="A41" s="36"/>
      <c r="B41" s="36"/>
      <c r="C41" s="36"/>
      <c r="D41" s="55"/>
      <c r="E41" s="36"/>
      <c r="F41" s="36"/>
      <c r="G41" s="36"/>
      <c r="H41" s="36"/>
      <c r="I41" s="36"/>
    </row>
    <row r="42" customFormat="false" ht="15" hidden="false" customHeight="false" outlineLevel="0" collapsed="false">
      <c r="A42" s="36"/>
      <c r="B42" s="36"/>
      <c r="C42" s="36"/>
      <c r="D42" s="55"/>
      <c r="E42" s="36"/>
      <c r="F42" s="36"/>
      <c r="G42" s="36"/>
      <c r="H42" s="36"/>
      <c r="I42" s="36"/>
    </row>
    <row r="43" customFormat="false" ht="15" hidden="false" customHeight="false" outlineLevel="0" collapsed="false">
      <c r="A43" s="36"/>
      <c r="B43" s="36"/>
      <c r="C43" s="36"/>
      <c r="D43" s="55"/>
      <c r="E43" s="36"/>
      <c r="F43" s="36"/>
      <c r="G43" s="36"/>
      <c r="H43" s="36"/>
      <c r="I43" s="36"/>
    </row>
    <row r="44" customFormat="false" ht="15" hidden="false" customHeight="false" outlineLevel="0" collapsed="false">
      <c r="A44" s="36"/>
      <c r="B44" s="36"/>
      <c r="C44" s="36"/>
      <c r="D44" s="55"/>
      <c r="E44" s="36"/>
      <c r="F44" s="36"/>
      <c r="G44" s="36"/>
      <c r="H44" s="36"/>
      <c r="I44" s="36"/>
    </row>
    <row r="45" customFormat="false" ht="15" hidden="false" customHeight="false" outlineLevel="0" collapsed="false">
      <c r="A45" s="36"/>
      <c r="B45" s="36"/>
      <c r="C45" s="36"/>
      <c r="D45" s="55"/>
      <c r="E45" s="36"/>
      <c r="F45" s="36"/>
      <c r="G45" s="36"/>
      <c r="H45" s="36"/>
      <c r="I45" s="36"/>
    </row>
    <row r="46" customFormat="false" ht="15" hidden="false" customHeight="false" outlineLevel="0" collapsed="false">
      <c r="A46" s="36"/>
      <c r="B46" s="36"/>
      <c r="C46" s="36"/>
      <c r="D46" s="55"/>
      <c r="E46" s="36"/>
      <c r="F46" s="36"/>
      <c r="G46" s="36"/>
      <c r="H46" s="36"/>
      <c r="I46" s="36"/>
    </row>
    <row r="47" customFormat="false" ht="15" hidden="false" customHeight="false" outlineLevel="0" collapsed="false">
      <c r="A47" s="36"/>
      <c r="B47" s="36"/>
      <c r="C47" s="36"/>
      <c r="D47" s="55"/>
      <c r="E47" s="36"/>
      <c r="F47" s="36"/>
      <c r="G47" s="36"/>
      <c r="H47" s="36"/>
      <c r="I47" s="36"/>
    </row>
    <row r="48" customFormat="false" ht="15" hidden="false" customHeight="false" outlineLevel="0" collapsed="false">
      <c r="A48" s="36"/>
      <c r="B48" s="36"/>
      <c r="C48" s="36"/>
      <c r="D48" s="55"/>
      <c r="E48" s="36"/>
      <c r="F48" s="36"/>
      <c r="G48" s="36"/>
      <c r="H48" s="36"/>
      <c r="I48" s="36"/>
    </row>
    <row r="49" customFormat="false" ht="15" hidden="false" customHeight="false" outlineLevel="0" collapsed="false">
      <c r="A49" s="36"/>
      <c r="B49" s="36"/>
      <c r="C49" s="36"/>
      <c r="D49" s="55"/>
      <c r="E49" s="36"/>
      <c r="F49" s="36"/>
      <c r="G49" s="36"/>
      <c r="H49" s="36"/>
      <c r="I49" s="36"/>
    </row>
    <row r="50" customFormat="false" ht="15" hidden="false" customHeight="false" outlineLevel="0" collapsed="false">
      <c r="A50" s="36"/>
      <c r="B50" s="36"/>
      <c r="C50" s="36"/>
      <c r="D50" s="55"/>
      <c r="E50" s="36"/>
      <c r="F50" s="36"/>
      <c r="G50" s="36"/>
      <c r="H50" s="36"/>
      <c r="I50" s="36"/>
    </row>
    <row r="51" customFormat="false" ht="15" hidden="false" customHeight="false" outlineLevel="0" collapsed="false">
      <c r="A51" s="36"/>
      <c r="B51" s="36"/>
      <c r="C51" s="36"/>
      <c r="D51" s="55"/>
      <c r="E51" s="36"/>
      <c r="F51" s="36"/>
      <c r="G51" s="36"/>
      <c r="H51" s="36"/>
      <c r="I51" s="36"/>
    </row>
    <row r="52" customFormat="false" ht="15" hidden="false" customHeight="false" outlineLevel="0" collapsed="false">
      <c r="A52" s="36"/>
      <c r="B52" s="36"/>
      <c r="C52" s="36"/>
      <c r="D52" s="55"/>
      <c r="E52" s="36"/>
      <c r="F52" s="36"/>
      <c r="G52" s="36"/>
      <c r="H52" s="36"/>
      <c r="I52" s="36"/>
    </row>
    <row r="53" customFormat="false" ht="15" hidden="false" customHeight="false" outlineLevel="0" collapsed="false">
      <c r="A53" s="36"/>
      <c r="B53" s="36"/>
      <c r="C53" s="36"/>
      <c r="D53" s="55"/>
      <c r="E53" s="36"/>
      <c r="F53" s="36"/>
      <c r="G53" s="36"/>
      <c r="H53" s="36"/>
      <c r="I53" s="36"/>
    </row>
    <row r="54" customFormat="false" ht="15" hidden="false" customHeight="false" outlineLevel="0" collapsed="false">
      <c r="A54" s="36"/>
      <c r="B54" s="36"/>
      <c r="C54" s="36"/>
      <c r="D54" s="55"/>
      <c r="E54" s="36"/>
      <c r="F54" s="36"/>
      <c r="G54" s="36"/>
      <c r="H54" s="36"/>
      <c r="I54" s="36"/>
    </row>
    <row r="55" customFormat="false" ht="15" hidden="false" customHeight="false" outlineLevel="0" collapsed="false">
      <c r="A55" s="36"/>
      <c r="B55" s="36"/>
      <c r="C55" s="36"/>
      <c r="D55" s="55"/>
      <c r="E55" s="36"/>
      <c r="F55" s="36"/>
      <c r="G55" s="36"/>
      <c r="H55" s="36"/>
      <c r="I55" s="36"/>
    </row>
    <row r="56" customFormat="false" ht="15" hidden="false" customHeight="false" outlineLevel="0" collapsed="false">
      <c r="A56" s="36"/>
      <c r="B56" s="36"/>
      <c r="C56" s="36"/>
      <c r="D56" s="55"/>
      <c r="E56" s="36"/>
      <c r="F56" s="36"/>
      <c r="G56" s="36"/>
      <c r="H56" s="36"/>
      <c r="I56" s="36"/>
    </row>
    <row r="58" customFormat="false" ht="15" hidden="false" customHeight="false" outlineLevel="0" collapsed="false">
      <c r="A58" s="48" t="s">
        <v>296</v>
      </c>
      <c r="D58" s="56" t="n">
        <f aca="false">COUNTIF(E17:E56,"Engine A only")</f>
        <v>0</v>
      </c>
    </row>
    <row r="59" customFormat="false" ht="15" hidden="false" customHeight="false" outlineLevel="0" collapsed="false">
      <c r="A59" s="48" t="s">
        <v>297</v>
      </c>
      <c r="D59" s="56" t="n">
        <f aca="false">COUNTIF(E17:E56,"Engine B only")</f>
        <v>0</v>
      </c>
    </row>
    <row r="60" customFormat="false" ht="15" hidden="false" customHeight="false" outlineLevel="0" collapsed="false">
      <c r="A60" s="48" t="s">
        <v>298</v>
      </c>
      <c r="D60" s="56" t="n">
        <f aca="false">COUNTIF(E17:E56,"Both")</f>
        <v>0</v>
      </c>
    </row>
    <row r="62" customFormat="false" ht="15" hidden="false" customHeight="false" outlineLevel="0" collapsed="false">
      <c r="A62" s="50" t="s">
        <v>299</v>
      </c>
    </row>
    <row r="63" customFormat="false" ht="15" hidden="false" customHeight="false" outlineLevel="0" collapsed="false">
      <c r="A63" s="57"/>
      <c r="B63" s="57"/>
      <c r="C63" s="57"/>
      <c r="D63" s="57"/>
      <c r="E63" s="57"/>
      <c r="F63" s="57"/>
      <c r="G63" s="57"/>
      <c r="H63" s="57"/>
      <c r="I63" s="57"/>
    </row>
    <row r="64" customFormat="false" ht="15" hidden="false" customHeight="false" outlineLevel="0" collapsed="false">
      <c r="A64" s="57"/>
      <c r="B64" s="57"/>
      <c r="C64" s="57"/>
      <c r="D64" s="57"/>
      <c r="E64" s="57"/>
      <c r="F64" s="57"/>
      <c r="G64" s="57"/>
      <c r="H64" s="57"/>
      <c r="I64" s="57"/>
    </row>
    <row r="65" customFormat="false" ht="15" hidden="false" customHeight="false" outlineLevel="0" collapsed="false">
      <c r="A65" s="57"/>
      <c r="B65" s="57"/>
      <c r="C65" s="57"/>
      <c r="D65" s="57"/>
      <c r="E65" s="57"/>
      <c r="F65" s="57"/>
      <c r="G65" s="57"/>
      <c r="H65" s="57"/>
      <c r="I65" s="57"/>
    </row>
    <row r="66" customFormat="false" ht="15" hidden="false" customHeight="false" outlineLevel="0" collapsed="false">
      <c r="A66" s="57"/>
      <c r="B66" s="57"/>
      <c r="C66" s="57"/>
      <c r="D66" s="57"/>
      <c r="E66" s="57"/>
      <c r="F66" s="57"/>
      <c r="G66" s="57"/>
      <c r="H66" s="57"/>
      <c r="I66" s="57"/>
    </row>
    <row r="67" customFormat="false" ht="15" hidden="false" customHeight="false" outlineLevel="0" collapsed="false">
      <c r="A67" s="57"/>
      <c r="B67" s="57"/>
      <c r="C67" s="57"/>
      <c r="D67" s="57"/>
      <c r="E67" s="57"/>
      <c r="F67" s="57"/>
      <c r="G67" s="57"/>
      <c r="H67" s="57"/>
      <c r="I67" s="57"/>
    </row>
    <row r="68" customFormat="false" ht="15" hidden="false" customHeight="false" outlineLevel="0" collapsed="false">
      <c r="A68" s="49" t="s">
        <v>300</v>
      </c>
      <c r="B68" s="49"/>
      <c r="C68" s="49"/>
      <c r="D68" s="49"/>
      <c r="E68" s="49"/>
      <c r="F68" s="49"/>
      <c r="G68" s="49"/>
      <c r="H68" s="49"/>
      <c r="I68" s="49"/>
    </row>
  </sheetData>
  <mergeCells count="5">
    <mergeCell ref="A1:I1"/>
    <mergeCell ref="A2:I2"/>
    <mergeCell ref="A12:I12"/>
    <mergeCell ref="A63:I67"/>
    <mergeCell ref="A68:I68"/>
  </mergeCells>
  <dataValidations count="2">
    <dataValidation allowBlank="true" errorStyle="stop" operator="between" showDropDown="false" showErrorMessage="false" showInputMessage="false" sqref="E17:E56" type="list">
      <formula1>"Engine A only,Engine B only,Both"</formula1>
      <formula2>0</formula2>
    </dataValidation>
    <dataValidation allowBlank="true" errorStyle="stop" operator="between" showDropDown="false" showErrorMessage="false" showInputMessage="false" sqref="F17:H56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2"/>
    <col collapsed="false" customWidth="true" hidden="false" outlineLevel="0" max="6" min="3" style="0" width="14"/>
  </cols>
  <sheetData>
    <row r="1" customFormat="false" ht="27" hidden="false" customHeight="true" outlineLevel="0" collapsed="false">
      <c r="A1" s="33" t="s">
        <v>301</v>
      </c>
      <c r="B1" s="33"/>
      <c r="C1" s="33"/>
      <c r="D1" s="33"/>
      <c r="E1" s="33"/>
      <c r="F1" s="33"/>
    </row>
    <row r="2" customFormat="false" ht="30" hidden="false" customHeight="true" outlineLevel="0" collapsed="false">
      <c r="A2" s="2" t="s">
        <v>302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50" t="s">
        <v>303</v>
      </c>
    </row>
    <row r="4" customFormat="false" ht="30" hidden="false" customHeight="true" outlineLevel="0" collapsed="false">
      <c r="A4" s="51" t="s">
        <v>304</v>
      </c>
      <c r="B4" s="51" t="s">
        <v>305</v>
      </c>
      <c r="C4" s="51" t="s">
        <v>306</v>
      </c>
      <c r="D4" s="51" t="s">
        <v>307</v>
      </c>
      <c r="E4" s="51" t="s">
        <v>308</v>
      </c>
      <c r="F4" s="51" t="s">
        <v>309</v>
      </c>
    </row>
    <row r="5" customFormat="false" ht="15" hidden="false" customHeight="false" outlineLevel="0" collapsed="false">
      <c r="A5" s="36" t="s">
        <v>274</v>
      </c>
      <c r="B5" s="52"/>
      <c r="C5" s="52"/>
      <c r="D5" s="52"/>
      <c r="E5" s="52"/>
      <c r="F5" s="52"/>
    </row>
    <row r="6" customFormat="false" ht="15" hidden="false" customHeight="false" outlineLevel="0" collapsed="false">
      <c r="A6" s="36" t="s">
        <v>275</v>
      </c>
      <c r="B6" s="52"/>
      <c r="C6" s="52"/>
      <c r="D6" s="52"/>
      <c r="E6" s="52"/>
      <c r="F6" s="52"/>
    </row>
    <row r="7" customFormat="false" ht="15" hidden="false" customHeight="false" outlineLevel="0" collapsed="false">
      <c r="A7" s="46" t="s">
        <v>310</v>
      </c>
      <c r="F7" s="56" t="n">
        <f aca="false">SUM(F5:F6)</f>
        <v>0</v>
      </c>
    </row>
    <row r="9" customFormat="false" ht="15" hidden="false" customHeight="false" outlineLevel="0" collapsed="false">
      <c r="A9" s="50" t="s">
        <v>311</v>
      </c>
    </row>
    <row r="10" customFormat="false" ht="30" hidden="false" customHeight="true" outlineLevel="0" collapsed="false">
      <c r="A10" s="51" t="s">
        <v>284</v>
      </c>
      <c r="B10" s="51" t="s">
        <v>15</v>
      </c>
      <c r="C10" s="51" t="s">
        <v>312</v>
      </c>
      <c r="D10" s="51" t="s">
        <v>313</v>
      </c>
      <c r="E10" s="51" t="s">
        <v>314</v>
      </c>
      <c r="F10" s="51" t="s">
        <v>315</v>
      </c>
    </row>
    <row r="11" customFormat="false" ht="15" hidden="false" customHeight="false" outlineLevel="0" collapsed="false">
      <c r="A11" s="53" t="n">
        <v>1</v>
      </c>
      <c r="B11" s="53" t="s">
        <v>316</v>
      </c>
      <c r="C11" s="53" t="s">
        <v>317</v>
      </c>
      <c r="D11" s="53" t="s">
        <v>318</v>
      </c>
      <c r="E11" s="53" t="n">
        <v>812</v>
      </c>
      <c r="F11" s="53" t="s">
        <v>319</v>
      </c>
    </row>
    <row r="12" customFormat="false" ht="15" hidden="false" customHeight="false" outlineLevel="0" collapsed="false">
      <c r="A12" s="36"/>
      <c r="B12" s="36"/>
      <c r="C12" s="36"/>
      <c r="D12" s="36"/>
      <c r="E12" s="36"/>
      <c r="F12" s="36"/>
    </row>
    <row r="13" customFormat="false" ht="15" hidden="false" customHeight="false" outlineLevel="0" collapsed="false">
      <c r="A13" s="36"/>
      <c r="B13" s="36"/>
      <c r="C13" s="36"/>
      <c r="D13" s="36"/>
      <c r="E13" s="36"/>
      <c r="F13" s="36"/>
    </row>
    <row r="14" customFormat="false" ht="15" hidden="false" customHeight="false" outlineLevel="0" collapsed="false">
      <c r="A14" s="36"/>
      <c r="B14" s="36"/>
      <c r="C14" s="36"/>
      <c r="D14" s="36"/>
      <c r="E14" s="36"/>
      <c r="F14" s="36"/>
    </row>
    <row r="15" customFormat="false" ht="15" hidden="false" customHeight="false" outlineLevel="0" collapsed="false">
      <c r="A15" s="36"/>
      <c r="B15" s="36"/>
      <c r="C15" s="36"/>
      <c r="D15" s="36"/>
      <c r="E15" s="36"/>
      <c r="F15" s="36"/>
    </row>
    <row r="16" customFormat="false" ht="15" hidden="false" customHeight="false" outlineLevel="0" collapsed="false">
      <c r="A16" s="36"/>
      <c r="B16" s="36"/>
      <c r="C16" s="36"/>
      <c r="D16" s="36"/>
      <c r="E16" s="36"/>
      <c r="F16" s="36"/>
    </row>
    <row r="17" customFormat="false" ht="15" hidden="false" customHeight="false" outlineLevel="0" collapsed="false">
      <c r="A17" s="36"/>
      <c r="B17" s="36"/>
      <c r="C17" s="36"/>
      <c r="D17" s="36"/>
      <c r="E17" s="36"/>
      <c r="F17" s="36"/>
    </row>
    <row r="18" customFormat="false" ht="15" hidden="false" customHeight="false" outlineLevel="0" collapsed="false">
      <c r="A18" s="36"/>
      <c r="B18" s="36"/>
      <c r="C18" s="36"/>
      <c r="D18" s="36"/>
      <c r="E18" s="36"/>
      <c r="F18" s="36"/>
    </row>
    <row r="19" customFormat="false" ht="15" hidden="false" customHeight="false" outlineLevel="0" collapsed="false">
      <c r="A19" s="36"/>
      <c r="B19" s="36"/>
      <c r="C19" s="36"/>
      <c r="D19" s="36"/>
      <c r="E19" s="36"/>
      <c r="F19" s="36"/>
    </row>
    <row r="20" customFormat="false" ht="15" hidden="false" customHeight="false" outlineLevel="0" collapsed="false">
      <c r="A20" s="36"/>
      <c r="B20" s="36"/>
      <c r="C20" s="36"/>
      <c r="D20" s="36"/>
      <c r="E20" s="36"/>
      <c r="F20" s="36"/>
    </row>
    <row r="21" customFormat="false" ht="15" hidden="false" customHeight="false" outlineLevel="0" collapsed="false">
      <c r="A21" s="36"/>
      <c r="B21" s="36"/>
      <c r="C21" s="36"/>
      <c r="D21" s="36"/>
      <c r="E21" s="36"/>
      <c r="F21" s="36"/>
    </row>
    <row r="22" customFormat="false" ht="15" hidden="false" customHeight="false" outlineLevel="0" collapsed="false">
      <c r="A22" s="36"/>
      <c r="B22" s="36"/>
      <c r="C22" s="36"/>
      <c r="D22" s="36"/>
      <c r="E22" s="36"/>
      <c r="F22" s="36"/>
    </row>
    <row r="23" customFormat="false" ht="15" hidden="false" customHeight="false" outlineLevel="0" collapsed="false">
      <c r="A23" s="36"/>
      <c r="B23" s="36"/>
      <c r="C23" s="36"/>
      <c r="D23" s="36"/>
      <c r="E23" s="36"/>
      <c r="F23" s="36"/>
    </row>
    <row r="24" customFormat="false" ht="15" hidden="false" customHeight="false" outlineLevel="0" collapsed="false">
      <c r="A24" s="36"/>
      <c r="B24" s="36"/>
      <c r="C24" s="36"/>
      <c r="D24" s="36"/>
      <c r="E24" s="36"/>
      <c r="F24" s="36"/>
    </row>
    <row r="25" customFormat="false" ht="15" hidden="false" customHeight="false" outlineLevel="0" collapsed="false">
      <c r="A25" s="36"/>
      <c r="B25" s="36"/>
      <c r="C25" s="36"/>
      <c r="D25" s="36"/>
      <c r="E25" s="36"/>
      <c r="F25" s="36"/>
    </row>
    <row r="26" customFormat="false" ht="15" hidden="false" customHeight="false" outlineLevel="0" collapsed="false">
      <c r="A26" s="36"/>
      <c r="B26" s="36"/>
      <c r="C26" s="36"/>
      <c r="D26" s="36"/>
      <c r="E26" s="36"/>
      <c r="F26" s="36"/>
    </row>
    <row r="27" customFormat="false" ht="15" hidden="false" customHeight="false" outlineLevel="0" collapsed="false">
      <c r="A27" s="36"/>
      <c r="B27" s="36"/>
      <c r="C27" s="36"/>
      <c r="D27" s="36"/>
      <c r="E27" s="36"/>
      <c r="F27" s="36"/>
    </row>
    <row r="28" customFormat="false" ht="15" hidden="false" customHeight="false" outlineLevel="0" collapsed="false">
      <c r="A28" s="36"/>
      <c r="B28" s="36"/>
      <c r="C28" s="36"/>
      <c r="D28" s="36"/>
      <c r="E28" s="36"/>
      <c r="F28" s="36"/>
    </row>
    <row r="29" customFormat="false" ht="15" hidden="false" customHeight="false" outlineLevel="0" collapsed="false">
      <c r="A29" s="36"/>
      <c r="B29" s="36"/>
      <c r="C29" s="36"/>
      <c r="D29" s="36"/>
      <c r="E29" s="36"/>
      <c r="F29" s="36"/>
    </row>
    <row r="30" customFormat="false" ht="15" hidden="false" customHeight="false" outlineLevel="0" collapsed="false">
      <c r="A30" s="36"/>
      <c r="B30" s="36"/>
      <c r="C30" s="36"/>
      <c r="D30" s="36"/>
      <c r="E30" s="36"/>
      <c r="F30" s="36"/>
    </row>
    <row r="31" customFormat="false" ht="15" hidden="false" customHeight="false" outlineLevel="0" collapsed="false">
      <c r="A31" s="36"/>
      <c r="B31" s="36"/>
      <c r="C31" s="36"/>
      <c r="D31" s="36"/>
      <c r="E31" s="36"/>
      <c r="F31" s="36"/>
    </row>
    <row r="32" customFormat="false" ht="15" hidden="false" customHeight="false" outlineLevel="0" collapsed="false">
      <c r="A32" s="36"/>
      <c r="B32" s="36"/>
      <c r="C32" s="36"/>
      <c r="D32" s="36"/>
      <c r="E32" s="36"/>
      <c r="F32" s="36"/>
    </row>
    <row r="33" customFormat="false" ht="15" hidden="false" customHeight="false" outlineLevel="0" collapsed="false">
      <c r="A33" s="36"/>
      <c r="B33" s="36"/>
      <c r="C33" s="36"/>
      <c r="D33" s="36"/>
      <c r="E33" s="36"/>
      <c r="F33" s="36"/>
    </row>
    <row r="34" customFormat="false" ht="15" hidden="false" customHeight="false" outlineLevel="0" collapsed="false">
      <c r="A34" s="36"/>
      <c r="B34" s="36"/>
      <c r="C34" s="36"/>
      <c r="D34" s="36"/>
      <c r="E34" s="36"/>
      <c r="F34" s="36"/>
    </row>
    <row r="35" customFormat="false" ht="15" hidden="false" customHeight="false" outlineLevel="0" collapsed="false">
      <c r="A35" s="36"/>
      <c r="B35" s="36"/>
      <c r="C35" s="36"/>
      <c r="D35" s="36"/>
      <c r="E35" s="36"/>
      <c r="F35" s="36"/>
    </row>
    <row r="36" customFormat="false" ht="15" hidden="false" customHeight="false" outlineLevel="0" collapsed="false">
      <c r="A36" s="36"/>
      <c r="B36" s="36"/>
      <c r="C36" s="36"/>
      <c r="D36" s="36"/>
      <c r="E36" s="36"/>
      <c r="F36" s="36"/>
    </row>
    <row r="37" customFormat="false" ht="15" hidden="false" customHeight="false" outlineLevel="0" collapsed="false">
      <c r="A37" s="36"/>
      <c r="B37" s="36"/>
      <c r="C37" s="36"/>
      <c r="D37" s="36"/>
      <c r="E37" s="36"/>
      <c r="F37" s="36"/>
    </row>
    <row r="38" customFormat="false" ht="15" hidden="false" customHeight="false" outlineLevel="0" collapsed="false">
      <c r="A38" s="36"/>
      <c r="B38" s="36"/>
      <c r="C38" s="36"/>
      <c r="D38" s="36"/>
      <c r="E38" s="36"/>
      <c r="F38" s="36"/>
    </row>
    <row r="39" customFormat="false" ht="15" hidden="false" customHeight="false" outlineLevel="0" collapsed="false">
      <c r="A39" s="36"/>
      <c r="B39" s="36"/>
      <c r="C39" s="36"/>
      <c r="D39" s="36"/>
      <c r="E39" s="36"/>
      <c r="F39" s="36"/>
    </row>
    <row r="40" customFormat="false" ht="15" hidden="false" customHeight="false" outlineLevel="0" collapsed="false">
      <c r="A40" s="36"/>
      <c r="B40" s="36"/>
      <c r="C40" s="36"/>
      <c r="D40" s="36"/>
      <c r="E40" s="36"/>
      <c r="F40" s="36"/>
    </row>
    <row r="41" customFormat="false" ht="15" hidden="false" customHeight="false" outlineLevel="0" collapsed="false">
      <c r="A41" s="36"/>
      <c r="B41" s="36"/>
      <c r="C41" s="36"/>
      <c r="D41" s="36"/>
      <c r="E41" s="36"/>
      <c r="F41" s="36"/>
    </row>
    <row r="42" customFormat="false" ht="15" hidden="false" customHeight="false" outlineLevel="0" collapsed="false">
      <c r="A42" s="36"/>
      <c r="B42" s="36"/>
      <c r="C42" s="36"/>
      <c r="D42" s="36"/>
      <c r="E42" s="36"/>
      <c r="F42" s="36"/>
    </row>
    <row r="43" customFormat="false" ht="15" hidden="false" customHeight="false" outlineLevel="0" collapsed="false">
      <c r="A43" s="36"/>
      <c r="B43" s="36"/>
      <c r="C43" s="36"/>
      <c r="D43" s="36"/>
      <c r="E43" s="36"/>
      <c r="F43" s="36"/>
    </row>
    <row r="44" customFormat="false" ht="15" hidden="false" customHeight="false" outlineLevel="0" collapsed="false">
      <c r="A44" s="36"/>
      <c r="B44" s="36"/>
      <c r="C44" s="36"/>
      <c r="D44" s="36"/>
      <c r="E44" s="36"/>
      <c r="F44" s="36"/>
    </row>
    <row r="45" customFormat="false" ht="15" hidden="false" customHeight="false" outlineLevel="0" collapsed="false">
      <c r="A45" s="36"/>
      <c r="B45" s="36"/>
      <c r="C45" s="36"/>
      <c r="D45" s="36"/>
      <c r="E45" s="36"/>
      <c r="F45" s="36"/>
    </row>
    <row r="46" customFormat="false" ht="15" hidden="false" customHeight="false" outlineLevel="0" collapsed="false">
      <c r="A46" s="36"/>
      <c r="B46" s="36"/>
      <c r="C46" s="36"/>
      <c r="D46" s="36"/>
      <c r="E46" s="36"/>
      <c r="F46" s="36"/>
    </row>
    <row r="47" customFormat="false" ht="15" hidden="false" customHeight="false" outlineLevel="0" collapsed="false">
      <c r="A47" s="36"/>
      <c r="B47" s="36"/>
      <c r="C47" s="36"/>
      <c r="D47" s="36"/>
      <c r="E47" s="36"/>
      <c r="F47" s="36"/>
    </row>
    <row r="48" customFormat="false" ht="15" hidden="false" customHeight="false" outlineLevel="0" collapsed="false">
      <c r="A48" s="36"/>
      <c r="B48" s="36"/>
      <c r="C48" s="36"/>
      <c r="D48" s="36"/>
      <c r="E48" s="36"/>
      <c r="F48" s="36"/>
    </row>
    <row r="49" customFormat="false" ht="15" hidden="false" customHeight="false" outlineLevel="0" collapsed="false">
      <c r="A49" s="36"/>
      <c r="B49" s="36"/>
      <c r="C49" s="36"/>
      <c r="D49" s="36"/>
      <c r="E49" s="36"/>
      <c r="F49" s="36"/>
    </row>
    <row r="50" customFormat="false" ht="15" hidden="false" customHeight="false" outlineLevel="0" collapsed="false">
      <c r="A50" s="36"/>
      <c r="B50" s="36"/>
      <c r="C50" s="36"/>
      <c r="D50" s="36"/>
      <c r="E50" s="36"/>
      <c r="F50" s="36"/>
    </row>
    <row r="51" customFormat="false" ht="15" hidden="false" customHeight="false" outlineLevel="0" collapsed="false">
      <c r="A51" s="36"/>
      <c r="B51" s="36"/>
      <c r="C51" s="36"/>
      <c r="D51" s="36"/>
      <c r="E51" s="36"/>
      <c r="F51" s="36"/>
    </row>
    <row r="52" customFormat="false" ht="15" hidden="false" customHeight="false" outlineLevel="0" collapsed="false">
      <c r="A52" s="36"/>
      <c r="B52" s="36"/>
      <c r="C52" s="36"/>
      <c r="D52" s="36"/>
      <c r="E52" s="36"/>
      <c r="F52" s="36"/>
    </row>
    <row r="53" customFormat="false" ht="15" hidden="false" customHeight="false" outlineLevel="0" collapsed="false">
      <c r="A53" s="36"/>
      <c r="B53" s="36"/>
      <c r="C53" s="36"/>
      <c r="D53" s="36"/>
      <c r="E53" s="36"/>
      <c r="F53" s="36"/>
    </row>
    <row r="54" customFormat="false" ht="15" hidden="false" customHeight="false" outlineLevel="0" collapsed="false">
      <c r="A54" s="36"/>
      <c r="B54" s="36"/>
      <c r="C54" s="36"/>
      <c r="D54" s="36"/>
      <c r="E54" s="36"/>
      <c r="F54" s="36"/>
    </row>
    <row r="55" customFormat="false" ht="15" hidden="false" customHeight="false" outlineLevel="0" collapsed="false">
      <c r="A55" s="36"/>
      <c r="B55" s="36"/>
      <c r="C55" s="36"/>
      <c r="D55" s="36"/>
      <c r="E55" s="36"/>
      <c r="F55" s="36"/>
    </row>
    <row r="56" customFormat="false" ht="15" hidden="false" customHeight="false" outlineLevel="0" collapsed="false">
      <c r="A56" s="36"/>
      <c r="B56" s="36"/>
      <c r="C56" s="36"/>
      <c r="D56" s="36"/>
      <c r="E56" s="36"/>
      <c r="F56" s="36"/>
    </row>
    <row r="58" customFormat="false" ht="15" hidden="false" customHeight="false" outlineLevel="0" collapsed="false">
      <c r="A58" s="48" t="s">
        <v>320</v>
      </c>
      <c r="E58" s="56" t="n">
        <f aca="false">COUNTIF(C12:C56,"Engine A pass")</f>
        <v>0</v>
      </c>
    </row>
    <row r="59" customFormat="false" ht="15" hidden="false" customHeight="false" outlineLevel="0" collapsed="false">
      <c r="A59" s="48" t="s">
        <v>321</v>
      </c>
      <c r="E59" s="56" t="n">
        <f aca="false">COUNTIF(C12:C56,"Engine B pass")</f>
        <v>0</v>
      </c>
    </row>
    <row r="61" customFormat="false" ht="15" hidden="false" customHeight="false" outlineLevel="0" collapsed="false">
      <c r="A61" s="50" t="s">
        <v>322</v>
      </c>
    </row>
    <row r="62" customFormat="false" ht="30" hidden="false" customHeight="true" outlineLevel="0" collapsed="false">
      <c r="A62" s="36" t="s">
        <v>323</v>
      </c>
      <c r="B62" s="57"/>
      <c r="C62" s="57"/>
      <c r="D62" s="57"/>
      <c r="E62" s="57"/>
      <c r="F62" s="57"/>
    </row>
    <row r="63" customFormat="false" ht="30" hidden="false" customHeight="true" outlineLevel="0" collapsed="false">
      <c r="A63" s="36" t="s">
        <v>324</v>
      </c>
      <c r="B63" s="57"/>
      <c r="C63" s="57"/>
      <c r="D63" s="57"/>
      <c r="E63" s="57"/>
      <c r="F63" s="57"/>
    </row>
    <row r="64" customFormat="false" ht="30" hidden="false" customHeight="true" outlineLevel="0" collapsed="false">
      <c r="A64" s="36" t="s">
        <v>325</v>
      </c>
      <c r="B64" s="57"/>
      <c r="C64" s="57"/>
      <c r="D64" s="57"/>
      <c r="E64" s="57"/>
      <c r="F64" s="57"/>
    </row>
    <row r="65" customFormat="false" ht="30" hidden="false" customHeight="true" outlineLevel="0" collapsed="false">
      <c r="A65" s="36" t="s">
        <v>326</v>
      </c>
      <c r="B65" s="57"/>
      <c r="C65" s="57"/>
      <c r="D65" s="57"/>
      <c r="E65" s="57"/>
      <c r="F65" s="57"/>
    </row>
    <row r="66" customFormat="false" ht="30" hidden="false" customHeight="true" outlineLevel="0" collapsed="false">
      <c r="A66" s="36" t="s">
        <v>327</v>
      </c>
      <c r="B66" s="57"/>
      <c r="C66" s="57"/>
      <c r="D66" s="57"/>
      <c r="E66" s="57"/>
      <c r="F66" s="57"/>
    </row>
    <row r="67" customFormat="false" ht="30" hidden="false" customHeight="true" outlineLevel="0" collapsed="false">
      <c r="A67" s="36" t="s">
        <v>328</v>
      </c>
      <c r="B67" s="57"/>
      <c r="C67" s="57"/>
      <c r="D67" s="57"/>
      <c r="E67" s="57"/>
      <c r="F67" s="57"/>
    </row>
  </sheetData>
  <mergeCells count="8">
    <mergeCell ref="A1:F1"/>
    <mergeCell ref="A2:F2"/>
    <mergeCell ref="B62:F62"/>
    <mergeCell ref="B63:F63"/>
    <mergeCell ref="B64:F64"/>
    <mergeCell ref="B65:F65"/>
    <mergeCell ref="B66:F66"/>
    <mergeCell ref="B67:F67"/>
  </mergeCells>
  <dataValidations count="1">
    <dataValidation allowBlank="true" errorStyle="stop" operator="between" showDropDown="false" showErrorMessage="false" showInputMessage="false" sqref="C12:C56" type="list">
      <formula1>"Engine A pass,Engine B pass"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6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27" hidden="false" customHeight="true" outlineLevel="0" collapsed="false">
      <c r="A1" s="33" t="s">
        <v>329</v>
      </c>
      <c r="B1" s="33"/>
      <c r="C1" s="33"/>
      <c r="D1" s="33"/>
    </row>
    <row r="2" customFormat="false" ht="30" hidden="false" customHeight="true" outlineLevel="0" collapsed="false">
      <c r="A2" s="2" t="s">
        <v>330</v>
      </c>
      <c r="B2" s="2"/>
      <c r="C2" s="2"/>
      <c r="D2" s="2"/>
    </row>
    <row r="3" customFormat="false" ht="30" hidden="false" customHeight="true" outlineLevel="0" collapsed="false">
      <c r="A3" s="51" t="s">
        <v>284</v>
      </c>
      <c r="B3" s="51" t="s">
        <v>331</v>
      </c>
      <c r="C3" s="51" t="s">
        <v>332</v>
      </c>
      <c r="D3" s="51" t="s">
        <v>333</v>
      </c>
    </row>
    <row r="4" customFormat="false" ht="15" hidden="false" customHeight="false" outlineLevel="0" collapsed="false">
      <c r="A4" s="38" t="n">
        <v>1</v>
      </c>
      <c r="B4" s="36" t="s">
        <v>334</v>
      </c>
      <c r="C4" s="58"/>
      <c r="D4" s="59"/>
    </row>
    <row r="5" customFormat="false" ht="15" hidden="false" customHeight="false" outlineLevel="0" collapsed="false">
      <c r="A5" s="38" t="n">
        <v>2</v>
      </c>
      <c r="B5" s="36" t="s">
        <v>335</v>
      </c>
      <c r="C5" s="58"/>
      <c r="D5" s="59"/>
    </row>
    <row r="6" customFormat="false" ht="15" hidden="false" customHeight="false" outlineLevel="0" collapsed="false">
      <c r="A6" s="38" t="n">
        <v>3</v>
      </c>
      <c r="B6" s="36" t="s">
        <v>336</v>
      </c>
      <c r="C6" s="58"/>
      <c r="D6" s="59"/>
    </row>
    <row r="7" customFormat="false" ht="22.35" hidden="false" customHeight="false" outlineLevel="0" collapsed="false">
      <c r="A7" s="38" t="n">
        <v>4</v>
      </c>
      <c r="B7" s="36" t="s">
        <v>337</v>
      </c>
      <c r="C7" s="58"/>
      <c r="D7" s="59"/>
    </row>
    <row r="8" customFormat="false" ht="15" hidden="false" customHeight="false" outlineLevel="0" collapsed="false">
      <c r="A8" s="38" t="n">
        <v>5</v>
      </c>
      <c r="B8" s="36" t="s">
        <v>338</v>
      </c>
      <c r="C8" s="58"/>
      <c r="D8" s="59"/>
    </row>
    <row r="9" customFormat="false" ht="15" hidden="false" customHeight="false" outlineLevel="0" collapsed="false">
      <c r="A9" s="38" t="n">
        <v>6</v>
      </c>
      <c r="B9" s="36" t="s">
        <v>339</v>
      </c>
      <c r="C9" s="58"/>
      <c r="D9" s="59"/>
    </row>
    <row r="10" customFormat="false" ht="22.35" hidden="false" customHeight="false" outlineLevel="0" collapsed="false">
      <c r="A10" s="38" t="n">
        <v>7</v>
      </c>
      <c r="B10" s="36" t="s">
        <v>340</v>
      </c>
      <c r="C10" s="58"/>
      <c r="D10" s="59"/>
    </row>
    <row r="11" customFormat="false" ht="15" hidden="false" customHeight="false" outlineLevel="0" collapsed="false">
      <c r="A11" s="38" t="n">
        <v>8</v>
      </c>
      <c r="B11" s="36" t="s">
        <v>341</v>
      </c>
      <c r="C11" s="58"/>
      <c r="D11" s="59"/>
    </row>
    <row r="12" customFormat="false" ht="15" hidden="false" customHeight="false" outlineLevel="0" collapsed="false">
      <c r="A12" s="38" t="n">
        <v>9</v>
      </c>
      <c r="B12" s="36" t="s">
        <v>342</v>
      </c>
      <c r="C12" s="58"/>
      <c r="D12" s="59"/>
    </row>
    <row r="13" customFormat="false" ht="15" hidden="false" customHeight="false" outlineLevel="0" collapsed="false">
      <c r="A13" s="38" t="n">
        <v>10</v>
      </c>
      <c r="B13" s="36" t="s">
        <v>343</v>
      </c>
      <c r="C13" s="58"/>
      <c r="D13" s="59"/>
    </row>
    <row r="14" customFormat="false" ht="15" hidden="false" customHeight="false" outlineLevel="0" collapsed="false">
      <c r="A14" s="38" t="n">
        <v>11</v>
      </c>
      <c r="B14" s="36" t="s">
        <v>344</v>
      </c>
      <c r="C14" s="58"/>
      <c r="D14" s="59"/>
    </row>
    <row r="15" customFormat="false" ht="15" hidden="false" customHeight="false" outlineLevel="0" collapsed="false">
      <c r="A15" s="38" t="n">
        <v>12</v>
      </c>
      <c r="B15" s="36" t="s">
        <v>345</v>
      </c>
      <c r="C15" s="58"/>
      <c r="D15" s="59"/>
    </row>
    <row r="16" customFormat="false" ht="15" hidden="false" customHeight="false" outlineLevel="0" collapsed="false">
      <c r="A16" s="38" t="n">
        <v>13</v>
      </c>
      <c r="B16" s="36" t="s">
        <v>346</v>
      </c>
      <c r="C16" s="58"/>
      <c r="D16" s="59"/>
    </row>
    <row r="17" customFormat="false" ht="15" hidden="false" customHeight="false" outlineLevel="0" collapsed="false">
      <c r="A17" s="38" t="n">
        <v>14</v>
      </c>
      <c r="B17" s="36" t="s">
        <v>347</v>
      </c>
      <c r="C17" s="58"/>
      <c r="D17" s="59"/>
    </row>
    <row r="18" customFormat="false" ht="15" hidden="false" customHeight="false" outlineLevel="0" collapsed="false">
      <c r="A18" s="38" t="n">
        <v>15</v>
      </c>
      <c r="B18" s="36" t="s">
        <v>348</v>
      </c>
      <c r="C18" s="58"/>
      <c r="D18" s="59"/>
    </row>
    <row r="19" customFormat="false" ht="22.35" hidden="false" customHeight="false" outlineLevel="0" collapsed="false">
      <c r="A19" s="38" t="n">
        <v>16</v>
      </c>
      <c r="B19" s="36" t="s">
        <v>349</v>
      </c>
      <c r="C19" s="58"/>
      <c r="D19" s="59"/>
    </row>
    <row r="20" customFormat="false" ht="15" hidden="false" customHeight="false" outlineLevel="0" collapsed="false">
      <c r="A20" s="38" t="n">
        <v>17</v>
      </c>
      <c r="B20" s="36" t="s">
        <v>350</v>
      </c>
      <c r="C20" s="58"/>
      <c r="D20" s="59"/>
    </row>
    <row r="21" customFormat="false" ht="22.35" hidden="false" customHeight="false" outlineLevel="0" collapsed="false">
      <c r="A21" s="38" t="n">
        <v>18</v>
      </c>
      <c r="B21" s="36" t="s">
        <v>351</v>
      </c>
      <c r="C21" s="58"/>
      <c r="D21" s="59"/>
    </row>
    <row r="22" customFormat="false" ht="22.35" hidden="false" customHeight="false" outlineLevel="0" collapsed="false">
      <c r="A22" s="38" t="n">
        <v>19</v>
      </c>
      <c r="B22" s="36" t="s">
        <v>352</v>
      </c>
      <c r="C22" s="58"/>
      <c r="D22" s="59"/>
    </row>
    <row r="23" customFormat="false" ht="15" hidden="false" customHeight="false" outlineLevel="0" collapsed="false">
      <c r="A23" s="38" t="n">
        <v>20</v>
      </c>
      <c r="B23" s="36" t="s">
        <v>353</v>
      </c>
      <c r="C23" s="58"/>
      <c r="D23" s="59"/>
    </row>
    <row r="24" customFormat="false" ht="15" hidden="false" customHeight="false" outlineLevel="0" collapsed="false">
      <c r="A24" s="38" t="n">
        <v>21</v>
      </c>
      <c r="B24" s="36" t="s">
        <v>354</v>
      </c>
      <c r="C24" s="58"/>
      <c r="D24" s="59"/>
    </row>
    <row r="25" customFormat="false" ht="15" hidden="false" customHeight="false" outlineLevel="0" collapsed="false">
      <c r="A25" s="38" t="n">
        <v>22</v>
      </c>
      <c r="B25" s="36" t="s">
        <v>355</v>
      </c>
      <c r="C25" s="58"/>
      <c r="D25" s="59"/>
    </row>
    <row r="26" customFormat="false" ht="22.35" hidden="false" customHeight="false" outlineLevel="0" collapsed="false">
      <c r="A26" s="38" t="n">
        <v>23</v>
      </c>
      <c r="B26" s="36" t="s">
        <v>356</v>
      </c>
      <c r="C26" s="58"/>
      <c r="D26" s="59"/>
    </row>
    <row r="27" customFormat="false" ht="22.35" hidden="false" customHeight="false" outlineLevel="0" collapsed="false">
      <c r="A27" s="38" t="n">
        <v>24</v>
      </c>
      <c r="B27" s="36" t="s">
        <v>357</v>
      </c>
      <c r="C27" s="58"/>
      <c r="D27" s="59"/>
    </row>
    <row r="28" customFormat="false" ht="15" hidden="false" customHeight="false" outlineLevel="0" collapsed="false">
      <c r="A28" s="38" t="n">
        <v>25</v>
      </c>
      <c r="B28" s="36" t="s">
        <v>358</v>
      </c>
      <c r="C28" s="58"/>
      <c r="D28" s="59"/>
    </row>
    <row r="29" customFormat="false" ht="15" hidden="false" customHeight="false" outlineLevel="0" collapsed="false">
      <c r="A29" s="38" t="n">
        <v>26</v>
      </c>
      <c r="B29" s="36" t="s">
        <v>359</v>
      </c>
      <c r="C29" s="58"/>
      <c r="D29" s="59"/>
    </row>
    <row r="30" customFormat="false" ht="15" hidden="false" customHeight="false" outlineLevel="0" collapsed="false">
      <c r="A30" s="38" t="n">
        <v>27</v>
      </c>
      <c r="B30" s="36" t="s">
        <v>360</v>
      </c>
      <c r="C30" s="58"/>
      <c r="D30" s="59"/>
    </row>
    <row r="31" customFormat="false" ht="15" hidden="false" customHeight="false" outlineLevel="0" collapsed="false">
      <c r="A31" s="38" t="n">
        <v>28</v>
      </c>
      <c r="B31" s="36" t="s">
        <v>361</v>
      </c>
      <c r="C31" s="58"/>
      <c r="D31" s="59"/>
    </row>
    <row r="32" customFormat="false" ht="15" hidden="false" customHeight="false" outlineLevel="0" collapsed="false">
      <c r="A32" s="38" t="n">
        <v>29</v>
      </c>
      <c r="B32" s="36" t="s">
        <v>362</v>
      </c>
      <c r="C32" s="58"/>
      <c r="D32" s="59"/>
    </row>
  </sheetData>
  <mergeCells count="2">
    <mergeCell ref="A1:D1"/>
    <mergeCell ref="A2:D2"/>
  </mergeCells>
  <dataValidations count="1">
    <dataValidation allowBlank="true" errorStyle="stop" operator="between" showDropDown="false" showErrorMessage="false" showInputMessage="false" sqref="C4:C32" type="list">
      <formula1>"Complete,In Progress,Not Started,N/A"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6"/>
  </cols>
  <sheetData>
    <row r="1" customFormat="false" ht="25.5" hidden="false" customHeight="true" outlineLevel="0" collapsed="false">
      <c r="A1" s="33" t="s">
        <v>363</v>
      </c>
      <c r="B1" s="60"/>
    </row>
    <row r="2" customFormat="false" ht="15" hidden="false" customHeight="false" outlineLevel="0" collapsed="false">
      <c r="A2" s="61" t="s">
        <v>364</v>
      </c>
      <c r="B2" s="62"/>
    </row>
    <row r="3" customFormat="false" ht="15" hidden="false" customHeight="false" outlineLevel="0" collapsed="false">
      <c r="A3" s="63" t="s">
        <v>365</v>
      </c>
      <c r="B3" s="44" t="s">
        <v>366</v>
      </c>
    </row>
    <row r="4" customFormat="false" ht="15" hidden="false" customHeight="false" outlineLevel="0" collapsed="false">
      <c r="A4" s="63" t="s">
        <v>367</v>
      </c>
      <c r="B4" s="44" t="s">
        <v>368</v>
      </c>
    </row>
    <row r="5" customFormat="false" ht="15" hidden="false" customHeight="false" outlineLevel="0" collapsed="false">
      <c r="A5" s="63" t="s">
        <v>369</v>
      </c>
      <c r="B5" s="44" t="s">
        <v>370</v>
      </c>
    </row>
    <row r="6" customFormat="false" ht="22.35" hidden="false" customHeight="false" outlineLevel="0" collapsed="false">
      <c r="A6" s="63" t="s">
        <v>371</v>
      </c>
      <c r="B6" s="44" t="s">
        <v>372</v>
      </c>
    </row>
    <row r="7" customFormat="false" ht="15" hidden="false" customHeight="false" outlineLevel="0" collapsed="false">
      <c r="A7" s="63" t="s">
        <v>373</v>
      </c>
      <c r="B7" s="44" t="s">
        <v>374</v>
      </c>
    </row>
    <row r="8" customFormat="false" ht="22.35" hidden="false" customHeight="false" outlineLevel="0" collapsed="false">
      <c r="A8" s="63" t="s">
        <v>375</v>
      </c>
      <c r="B8" s="44" t="s">
        <v>376</v>
      </c>
    </row>
    <row r="9" customFormat="false" ht="22.35" hidden="false" customHeight="false" outlineLevel="0" collapsed="false">
      <c r="A9" s="63" t="s">
        <v>377</v>
      </c>
      <c r="B9" s="44" t="s">
        <v>378</v>
      </c>
    </row>
    <row r="10" customFormat="false" ht="15" hidden="false" customHeight="false" outlineLevel="0" collapsed="false">
      <c r="A10" s="61" t="s">
        <v>379</v>
      </c>
      <c r="B10" s="62"/>
    </row>
    <row r="11" customFormat="false" ht="15" hidden="false" customHeight="false" outlineLevel="0" collapsed="false">
      <c r="A11" s="63" t="s">
        <v>380</v>
      </c>
      <c r="B11" s="44" t="s">
        <v>381</v>
      </c>
    </row>
    <row r="12" customFormat="false" ht="15" hidden="false" customHeight="false" outlineLevel="0" collapsed="false">
      <c r="A12" s="63" t="s">
        <v>382</v>
      </c>
      <c r="B12" s="44" t="s">
        <v>383</v>
      </c>
    </row>
    <row r="13" customFormat="false" ht="15" hidden="false" customHeight="false" outlineLevel="0" collapsed="false">
      <c r="A13" s="63" t="s">
        <v>384</v>
      </c>
      <c r="B13" s="44" t="s">
        <v>385</v>
      </c>
    </row>
    <row r="14" customFormat="false" ht="15" hidden="false" customHeight="false" outlineLevel="0" collapsed="false">
      <c r="A14" s="63" t="s">
        <v>386</v>
      </c>
      <c r="B14" s="44" t="s">
        <v>387</v>
      </c>
    </row>
    <row r="15" customFormat="false" ht="15" hidden="false" customHeight="false" outlineLevel="0" collapsed="false">
      <c r="A15" s="61" t="s">
        <v>388</v>
      </c>
      <c r="B15" s="62"/>
    </row>
    <row r="16" customFormat="false" ht="15" hidden="false" customHeight="false" outlineLevel="0" collapsed="false">
      <c r="A16" s="63" t="s">
        <v>389</v>
      </c>
      <c r="B16" s="44" t="s">
        <v>390</v>
      </c>
    </row>
    <row r="17" customFormat="false" ht="22.35" hidden="false" customHeight="false" outlineLevel="0" collapsed="false">
      <c r="A17" s="63" t="s">
        <v>391</v>
      </c>
      <c r="B17" s="44" t="s">
        <v>392</v>
      </c>
    </row>
    <row r="18" customFormat="false" ht="22.35" hidden="false" customHeight="false" outlineLevel="0" collapsed="false">
      <c r="A18" s="63" t="s">
        <v>393</v>
      </c>
      <c r="B18" s="44" t="s">
        <v>394</v>
      </c>
    </row>
    <row r="19" customFormat="false" ht="15" hidden="false" customHeight="false" outlineLevel="0" collapsed="false">
      <c r="A19" s="61" t="s">
        <v>395</v>
      </c>
      <c r="B19" s="62"/>
    </row>
    <row r="20" customFormat="false" ht="15" hidden="false" customHeight="false" outlineLevel="0" collapsed="false">
      <c r="A20" s="63" t="s">
        <v>5</v>
      </c>
      <c r="B20" s="44" t="s">
        <v>396</v>
      </c>
    </row>
    <row r="21" customFormat="false" ht="15" hidden="false" customHeight="false" outlineLevel="0" collapsed="false">
      <c r="A21" s="63" t="s">
        <v>6</v>
      </c>
      <c r="B21" s="44" t="s">
        <v>397</v>
      </c>
    </row>
    <row r="22" customFormat="false" ht="22.35" hidden="false" customHeight="false" outlineLevel="0" collapsed="false">
      <c r="A22" s="63" t="s">
        <v>10</v>
      </c>
      <c r="B22" s="44" t="s">
        <v>398</v>
      </c>
    </row>
    <row r="23" customFormat="false" ht="15" hidden="false" customHeight="false" outlineLevel="0" collapsed="false">
      <c r="A23" s="63" t="s">
        <v>12</v>
      </c>
      <c r="B23" s="44" t="s">
        <v>399</v>
      </c>
    </row>
    <row r="24" customFormat="false" ht="15" hidden="false" customHeight="false" outlineLevel="0" collapsed="false">
      <c r="A24" s="63" t="s">
        <v>13</v>
      </c>
      <c r="B24" s="44" t="s">
        <v>400</v>
      </c>
    </row>
    <row r="25" customFormat="false" ht="22.35" hidden="false" customHeight="false" outlineLevel="0" collapsed="false">
      <c r="A25" s="63" t="s">
        <v>14</v>
      </c>
      <c r="B25" s="44" t="s">
        <v>401</v>
      </c>
    </row>
    <row r="26" customFormat="false" ht="15" hidden="false" customHeight="false" outlineLevel="0" collapsed="false">
      <c r="A26" s="63" t="s">
        <v>11</v>
      </c>
      <c r="B26" s="44" t="s">
        <v>402</v>
      </c>
    </row>
    <row r="27" customFormat="false" ht="15" hidden="false" customHeight="false" outlineLevel="0" collapsed="false">
      <c r="A27" s="63" t="s">
        <v>18</v>
      </c>
      <c r="B27" s="44" t="s">
        <v>403</v>
      </c>
    </row>
    <row r="28" customFormat="false" ht="15" hidden="false" customHeight="false" outlineLevel="0" collapsed="false">
      <c r="A28" s="63" t="s">
        <v>16</v>
      </c>
      <c r="B28" s="44" t="s">
        <v>404</v>
      </c>
    </row>
    <row r="29" customFormat="false" ht="15" hidden="false" customHeight="false" outlineLevel="0" collapsed="false">
      <c r="A29" s="61" t="s">
        <v>405</v>
      </c>
      <c r="B29" s="62"/>
    </row>
    <row r="30" customFormat="false" ht="22.35" hidden="false" customHeight="false" outlineLevel="0" collapsed="false">
      <c r="A30" s="63" t="s">
        <v>406</v>
      </c>
      <c r="B30" s="44" t="s">
        <v>407</v>
      </c>
    </row>
    <row r="31" customFormat="false" ht="22.35" hidden="false" customHeight="false" outlineLevel="0" collapsed="false">
      <c r="A31" s="63" t="s">
        <v>408</v>
      </c>
      <c r="B31" s="44" t="s">
        <v>409</v>
      </c>
    </row>
    <row r="32" customFormat="false" ht="15" hidden="false" customHeight="false" outlineLevel="0" collapsed="false">
      <c r="A32" s="63" t="s">
        <v>410</v>
      </c>
      <c r="B32" s="44" t="s">
        <v>411</v>
      </c>
    </row>
    <row r="33" customFormat="false" ht="15" hidden="false" customHeight="false" outlineLevel="0" collapsed="false">
      <c r="A33" s="61" t="s">
        <v>412</v>
      </c>
      <c r="B33" s="62"/>
    </row>
    <row r="34" customFormat="false" ht="15" hidden="false" customHeight="false" outlineLevel="0" collapsed="false">
      <c r="A34" s="63" t="s">
        <v>413</v>
      </c>
      <c r="B34" s="44" t="s">
        <v>414</v>
      </c>
    </row>
    <row r="35" customFormat="false" ht="15" hidden="false" customHeight="false" outlineLevel="0" collapsed="false">
      <c r="A35" s="63" t="s">
        <v>415</v>
      </c>
      <c r="B35" s="44" t="s">
        <v>416</v>
      </c>
    </row>
    <row r="36" customFormat="false" ht="15" hidden="false" customHeight="false" outlineLevel="0" collapsed="false">
      <c r="A36" s="63" t="s">
        <v>417</v>
      </c>
      <c r="B36" s="44" t="s">
        <v>418</v>
      </c>
    </row>
    <row r="37" customFormat="false" ht="15" hidden="false" customHeight="false" outlineLevel="0" collapsed="false">
      <c r="A37" s="63" t="s">
        <v>419</v>
      </c>
      <c r="B37" s="44" t="s">
        <v>420</v>
      </c>
    </row>
    <row r="38" customFormat="false" ht="22.35" hidden="false" customHeight="false" outlineLevel="0" collapsed="false">
      <c r="A38" s="63" t="s">
        <v>421</v>
      </c>
      <c r="B38" s="44" t="s">
        <v>422</v>
      </c>
    </row>
    <row r="39" customFormat="false" ht="15" hidden="false" customHeight="false" outlineLevel="0" collapsed="false">
      <c r="A39" s="61" t="s">
        <v>423</v>
      </c>
      <c r="B39" s="62"/>
    </row>
    <row r="40" customFormat="false" ht="15" hidden="false" customHeight="false" outlineLevel="0" collapsed="false">
      <c r="A40" s="63" t="s">
        <v>424</v>
      </c>
      <c r="B40" s="44" t="s">
        <v>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2026-05-31T05:06:28Z</dcterms:created>
  <dc:creator>witad</dc:creator>
  <dc:description/>
  <dc:language>en-US</dc:language>
  <cp:lastModifiedBy>Witada Anukoonwattaka</cp:lastModifiedBy>
  <dcterms:modified xsi:type="dcterms:W3CDTF">2026-08-16T14:45:47Z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